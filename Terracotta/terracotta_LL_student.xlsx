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hidePivotFieldList="1"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DA3ED460-EBD1-CA43-98FD-9AFEDBD8357E}" xr6:coauthVersionLast="47" xr6:coauthVersionMax="47" xr10:uidLastSave="{00000000-0000-0000-0000-000000000000}"/>
  <bookViews>
    <workbookView xWindow="9780" yWindow="500" windowWidth="18740" windowHeight="16000" activeTab="2" xr2:uid="{00000000-000D-0000-FFFF-FFFF00000000}"/>
  </bookViews>
  <sheets>
    <sheet name="data-dictionaries" sheetId="4" r:id="rId1"/>
    <sheet name="Task 1c" sheetId="6" r:id="rId2"/>
    <sheet name="terracotta-survey" sheetId="1" r:id="rId3"/>
    <sheet name="Solutions" sheetId="5" state="veryHidden" r:id="rId4"/>
    <sheet name="plant-info" sheetId="2" r:id="rId5"/>
    <sheet name="free-response-analysis" sheetId="3" r:id="rId6"/>
  </sheets>
  <calcPr calcId="191029"/>
  <pivotCaches>
    <pivotCache cacheId="14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3" i="1"/>
  <c r="P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3" i="1"/>
  <c r="M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8" authorId="0" shapeId="0" xr:uid="{00000000-0006-0000-0100-000001000000}">
      <text>
        <r>
          <rPr>
            <sz val="12"/>
            <color rgb="FF000000"/>
            <rFont val="+mn-lt"/>
            <charset val="1"/>
          </rPr>
          <t xml:space="preserve">Use the maintenance column in both the rows </t>
        </r>
        <r>
          <rPr>
            <b/>
            <sz val="12"/>
            <color rgb="FF000000"/>
            <rFont val="+mn-lt"/>
            <charset val="1"/>
          </rPr>
          <t>and</t>
        </r>
        <r>
          <rPr>
            <sz val="12"/>
            <color rgb="FF000000"/>
            <rFont val="+mn-lt"/>
            <charset val="1"/>
          </rPr>
          <t xml:space="preserve"> values!
</t>
        </r>
      </text>
    </comment>
    <comment ref="D21" authorId="0" shapeId="0" xr:uid="{00000000-0006-0000-0100-000002000000}">
      <text>
        <r>
          <rPr>
            <sz val="12"/>
            <color rgb="FF000000"/>
            <rFont val="+mn-lt"/>
            <charset val="1"/>
          </rPr>
          <t xml:space="preserve">Edit your PivotTable to display the values as a percentage of the column total.
</t>
        </r>
      </text>
    </comment>
    <comment ref="D23" authorId="0" shapeId="0" xr:uid="{00000000-0006-0000-0100-000003000000}">
      <text>
        <r>
          <rPr>
            <sz val="12"/>
            <color rgb="FF000000"/>
            <rFont val="+mn-lt"/>
            <charset val="1"/>
          </rPr>
          <t xml:space="preserve">The choice is yours! You can either create a PivotTable using the safe-for-pets column, or the </t>
        </r>
        <r>
          <rPr>
            <b/>
            <sz val="12"/>
            <color rgb="FF000000"/>
            <rFont val="+mn-lt"/>
            <charset val="1"/>
          </rPr>
          <t>COUNTIF</t>
        </r>
        <r>
          <rPr>
            <sz val="12"/>
            <color rgb="FF000000"/>
            <rFont val="+mn-lt"/>
            <charset val="1"/>
          </rPr>
          <t xml:space="preserve"> function and the </t>
        </r>
        <r>
          <rPr>
            <b/>
            <sz val="12"/>
            <color rgb="FF000000"/>
            <rFont val="+mn-lt"/>
            <charset val="1"/>
          </rPr>
          <t>ROWS</t>
        </r>
        <r>
          <rPr>
            <sz val="12"/>
            <color rgb="FF000000"/>
            <rFont val="+mn-lt"/>
            <charset val="1"/>
          </rPr>
          <t xml:space="preserve"> function.</t>
        </r>
      </text>
    </comment>
    <comment ref="D30" authorId="0" shapeId="0" xr:uid="{00000000-0006-0000-0100-000004000000}">
      <text>
        <r>
          <rPr>
            <sz val="12"/>
            <color rgb="FF000000"/>
            <rFont val="+mn-lt"/>
            <charset val="1"/>
          </rPr>
          <t xml:space="preserve">You can either lookup the survey_id or the reason_for_purchase_free_response columns in your </t>
        </r>
        <r>
          <rPr>
            <b/>
            <sz val="12"/>
            <color rgb="FF000000"/>
            <rFont val="+mn-lt"/>
            <charset val="1"/>
          </rPr>
          <t>XLOOKUP</t>
        </r>
        <r>
          <rPr>
            <sz val="12"/>
            <color rgb="FF000000"/>
            <rFont val="+mn-lt"/>
            <charset val="1"/>
          </rPr>
          <t xml:space="preserve"> function. </t>
        </r>
      </text>
    </comment>
    <comment ref="D33" authorId="0" shapeId="0" xr:uid="{00000000-0006-0000-0100-000005000000}">
      <text>
        <r>
          <rPr>
            <sz val="12"/>
            <color rgb="FF000000"/>
            <rFont val="+mn-lt"/>
            <charset val="1"/>
          </rPr>
          <t xml:space="preserve">Use the reason_for_purchase column in both the rows </t>
        </r>
        <r>
          <rPr>
            <b/>
            <sz val="12"/>
            <color rgb="FF000000"/>
            <rFont val="+mn-lt"/>
            <charset val="1"/>
          </rPr>
          <t>and</t>
        </r>
        <r>
          <rPr>
            <sz val="12"/>
            <color rgb="FF000000"/>
            <rFont val="+mn-lt"/>
            <charset val="1"/>
          </rPr>
          <t xml:space="preserve"> values!</t>
        </r>
      </text>
    </comment>
    <comment ref="D36" authorId="0" shapeId="0" xr:uid="{00000000-0006-0000-0100-000006000000}">
      <text>
        <r>
          <rPr>
            <sz val="12"/>
            <color rgb="FF000000"/>
            <rFont val="+mn-lt"/>
            <charset val="1"/>
          </rPr>
          <t>Edit your PivotTable to display the values as a percentage of the column total.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<sst xmlns="http://schemas.openxmlformats.org/spreadsheetml/2006/main" count="2327" uniqueCount="595">
  <si>
    <t>plant_types</t>
  </si>
  <si>
    <t>reason_for_purchase</t>
  </si>
  <si>
    <t>freq</t>
  </si>
  <si>
    <t>care_info</t>
  </si>
  <si>
    <t>pots</t>
  </si>
  <si>
    <t>care requirements</t>
  </si>
  <si>
    <t>every few months</t>
  </si>
  <si>
    <t>pet-safe information</t>
  </si>
  <si>
    <t>ceramic</t>
  </si>
  <si>
    <t>Low maintenance and pet-friendly are my top priorities when choosing a plant.</t>
  </si>
  <si>
    <t>ZZ Plant</t>
  </si>
  <si>
    <t>benefits</t>
  </si>
  <si>
    <t>monthly</t>
  </si>
  <si>
    <t>terracotta</t>
  </si>
  <si>
    <t>I love using plants in my beauty routine, so I choose ones that have natural healing properties, like tea tree oil.</t>
  </si>
  <si>
    <t>Hoya</t>
  </si>
  <si>
    <t>pet-friendly or safe for children</t>
  </si>
  <si>
    <t>weekly</t>
  </si>
  <si>
    <t>light requirements</t>
  </si>
  <si>
    <t>I always make sure the plant is non-toxic to my cat.</t>
  </si>
  <si>
    <t>Chinese Evergreen</t>
  </si>
  <si>
    <t>plastic</t>
  </si>
  <si>
    <t>Low maintenance and pet-safe are the two factors I always consider when buying a plant.</t>
  </si>
  <si>
    <t>Boston Fern</t>
  </si>
  <si>
    <t>watering frequency &amp; amount</t>
  </si>
  <si>
    <t>hanging baskets</t>
  </si>
  <si>
    <t>I prefer plants that have natural anti-aging properties, like acai berries, for overall health benefits.</t>
  </si>
  <si>
    <t>Begonia</t>
  </si>
  <si>
    <t>rarely, only for special occasions</t>
  </si>
  <si>
    <t>I want my plants to be a source of relaxation, not added stress, so I choose low-maintenance options.</t>
  </si>
  <si>
    <t>Schefflera</t>
  </si>
  <si>
    <t>propagation techniques</t>
  </si>
  <si>
    <t>I'm not the best with plants, so I choose ones that are known for being easy to care for.</t>
  </si>
  <si>
    <t>Maidenhair Fern</t>
  </si>
  <si>
    <t>size</t>
  </si>
  <si>
    <t>wall-mounted planters</t>
  </si>
  <si>
    <t>I prefer plants that are small and easy to move around, so I can change up my decor often.</t>
  </si>
  <si>
    <t>I don't have a lot of space, so I choose plants that are small and easy to care for.</t>
  </si>
  <si>
    <t>rare or unique species</t>
  </si>
  <si>
    <t>soil type &amp; fertilization</t>
  </si>
  <si>
    <t>I want my plants to be Instagram-worthy, so I choose rare ones, no matter the cost.</t>
  </si>
  <si>
    <t>Parlour Palm</t>
  </si>
  <si>
    <t>safety for my children is my top priority, so I look for plants that won't harm them.</t>
  </si>
  <si>
    <t>I only buy plants that are safe for both kids and pets.</t>
  </si>
  <si>
    <t>I'm not the best at keeping plants alive, so I always choose low-maintenance options.</t>
  </si>
  <si>
    <t>I only buy plants that are drought-tolerant because I'm not great at remembering to water them.</t>
  </si>
  <si>
    <t>Low maintenance plants that can thrive in low light are perfect for my apartment.</t>
  </si>
  <si>
    <t>Peperomia</t>
  </si>
  <si>
    <t>I always look for plants that have air-purifying qualities for a healthier home.</t>
  </si>
  <si>
    <t>Cast-Iron Plant</t>
  </si>
  <si>
    <t>I prefer plants that have natural anti-inflammatory properties, like turmeric, for overall health benefits.</t>
  </si>
  <si>
    <t>Phalaenopsis</t>
  </si>
  <si>
    <t>I love using plants in my tea blends, so I choose ones that have unique and interesting flavors, like hibiscus.</t>
  </si>
  <si>
    <t>I prefer plants that have natural pain-relieving properties, like chamomile, for headaches and cramps.</t>
  </si>
  <si>
    <t>I want plants that require little care and attention since I'm not the best at keeping them alive.</t>
  </si>
  <si>
    <t>I want my plants to be one-of-a-kind.</t>
  </si>
  <si>
    <t>I have a dog, so I always check if the plant is pet-friendly.</t>
  </si>
  <si>
    <t>Calathea</t>
  </si>
  <si>
    <t>I don't have a green thumb, so I need a plant that's easy to care for.</t>
  </si>
  <si>
    <t>I like to buy plants that are small enough to fit on my windowsill.</t>
  </si>
  <si>
    <t>I love plants that have aromatherapy benefits, like lavender, to help me relax and sleep better.</t>
  </si>
  <si>
    <t>I want plants that are easy to care for and don't require a lot of time or effort.</t>
  </si>
  <si>
    <t>I don't want to worry about keeping my plants near a window, so I choose options that can thrive in low light.</t>
  </si>
  <si>
    <t>I like to have plants in every room of my house, so I choose small ones that I can scatter around.</t>
  </si>
  <si>
    <t>Philodendron Vines</t>
  </si>
  <si>
    <t>I choose plants that have natural insect-repelling qualities, so I can avoid using harmful chemicals.</t>
  </si>
  <si>
    <t>I don't want to risk my cat getting sick, so I only buy plants that are safe for felines.</t>
  </si>
  <si>
    <t>As a mom, I need to make sure any plant I bring home won't harm my kids.</t>
  </si>
  <si>
    <t>I have a toddler, so safety is a major concern when buying plants.</t>
  </si>
  <si>
    <t>I prefer plants that have natural anti-inflammatory properties, like omega-3 rich flax seeds, for overall health benefits.</t>
  </si>
  <si>
    <t>I prefer plants that are non-toxic to pets and children.</t>
  </si>
  <si>
    <t>price</t>
  </si>
  <si>
    <t>I want to be able to buy plants without feeling guilty about the cost, so I choose affordable options.</t>
  </si>
  <si>
    <t>Polka Dot Plant</t>
  </si>
  <si>
    <t>I prefer plants that can go without water for a few days because I travel frequently.</t>
  </si>
  <si>
    <t>Air Plants</t>
  </si>
  <si>
    <t>I choose plants that have natural immune-boosting properties, like echinacea, to stay healthy.</t>
  </si>
  <si>
    <t>I choose plants that are small and fit in cute planters, so they're not too overwhelming.</t>
  </si>
  <si>
    <t>I prefer plants that are large and leafy, so they make a big impact in my space.</t>
  </si>
  <si>
    <t>I don't want to spend more than I have to on plants, so I choose ones that are reasonably priced.</t>
  </si>
  <si>
    <t>I don't want to spend a lot of money on plants that won't last, so I choose ones that are durable and long-lasting.</t>
  </si>
  <si>
    <t>Fiddle Leaf Fig</t>
  </si>
  <si>
    <t>I love the challenge of growing rare plants that require special conditions.</t>
  </si>
  <si>
    <t>Philodendrons</t>
  </si>
  <si>
    <t>I want to improve my joint health, so I choose plants that are known for their anti-inflammatory properties, like turmeric.</t>
  </si>
  <si>
    <t>Easy light requirements are important to me, since I don't have much natural light in my home.</t>
  </si>
  <si>
    <t>I like to have plants that no one else has, so I choose super unique species.</t>
  </si>
  <si>
    <t>I look for plants that can survive with minimal watering because I don't have a lot of time to take care of them.</t>
  </si>
  <si>
    <t>I always look for plants that are easy to care for and safe for my pets.</t>
  </si>
  <si>
    <t>I love plants that have natural anti-bacterial properties, like thyme, to keep my home clean and healthy.</t>
  </si>
  <si>
    <t>I have a dog and a baby, so I need to be extra careful about the plants I choose.</t>
  </si>
  <si>
    <t>I prefer plants that can tolerate low light, since I don't have many windows in my living space.</t>
  </si>
  <si>
    <t>I choose plants that have natural anti-anxiety properties, like valerian root, to reduce stress.</t>
  </si>
  <si>
    <t>I love finding good deals on plants, so I always look for sales and discounts.</t>
  </si>
  <si>
    <t>I prefer plants that are self-sufficient and don't require a lot of special care or attention.</t>
  </si>
  <si>
    <t>I don't want to worry about my cat getting into the plant, so I always choose non-toxic options.</t>
  </si>
  <si>
    <t>I prefer plants that have natural anti-viral properties, like elderberry, to stay healthy during cold and flu season.</t>
  </si>
  <si>
    <t>I choose plants that have natural stress-reducing properties to create a more relaxing environment.</t>
  </si>
  <si>
    <t>I prefer plants that have unique shapes, colors, or textures that are hard to find.</t>
  </si>
  <si>
    <t>I choose plants that are affordable and won't require a lot of expensive equipment or supplies to care for.</t>
  </si>
  <si>
    <t>safety for my kids and pets is non-negotiable, so I always check the labels.</t>
  </si>
  <si>
    <t>I don't have a green thumb, so I stick to low-maintenance plants.</t>
  </si>
  <si>
    <t>I want plants that are easy to care for and don't require a lot of attention or special care.</t>
  </si>
  <si>
    <t>I want to improve my indoor air quality, so I choose plants that are known to remove toxins.</t>
  </si>
  <si>
    <t>I live in a small space with limited light, so low maintenance and low light requirements are important.</t>
  </si>
  <si>
    <t>metal</t>
  </si>
  <si>
    <t>I want to enjoy my plants without worrying about my dog or child getting sick.</t>
  </si>
  <si>
    <t>I choose plants that are easy to move from room to room, so I can enjoy them anywhere in my home.</t>
  </si>
  <si>
    <t>I prefer plants that don't require frequent watering because I don't want to waste resources.</t>
  </si>
  <si>
    <t>I want my plants to be a reflection of me. I‚Äôm pretty unique!</t>
  </si>
  <si>
    <t>I love my cat too much to take any chances, so I opt for non-toxic plants.</t>
  </si>
  <si>
    <t>I have a busy schedule, so I need plants that don't require a lot of attention.</t>
  </si>
  <si>
    <t>Monstera</t>
  </si>
  <si>
    <t>My family's safety comes first, so I make sure the plant won't harm anyone.</t>
  </si>
  <si>
    <t>I prefer small plants that won't take up too much space in my apartment.</t>
  </si>
  <si>
    <t>I want plants that are easy to transport, so I choose ones that are small and lightweight.</t>
  </si>
  <si>
    <t>I always research the plant to make sure it won't pose a risk to my kids or pets.</t>
  </si>
  <si>
    <t>I don't want to spend too much money, but I also want to make sure my pets are safe, so I choose plants that are affordable and non-toxic to them.</t>
  </si>
  <si>
    <t>I want to boost my mood naturally, so I choose plants with bright and cheerful colors.</t>
  </si>
  <si>
    <t>I only buy plants that are on sale or discounted.</t>
  </si>
  <si>
    <t>I have a dog, so I need to be careful about the plants I bring home.</t>
  </si>
  <si>
    <t>Prayer Plant</t>
  </si>
  <si>
    <t>I love using plants in my skincare routine, so I choose ones that have natural beauty benefits.</t>
  </si>
  <si>
    <t>I prefer plants that don't require a lot of attention or special soil, so I can enjoy them without worrying too much about their care.</t>
  </si>
  <si>
    <t>I don't want to take any risks, so I stick to pet and child-friendly plants.</t>
  </si>
  <si>
    <t>I want to make sure my cat can't access the plant, but if he does, it won't harm him.</t>
  </si>
  <si>
    <t>I want to be able to fit a lot of plants in my small apartment, so I choose ones that are compact.</t>
  </si>
  <si>
    <t>As a busy person, I need plants that won't require a lot of attention, so I always choose low-maintenance options.</t>
  </si>
  <si>
    <t>I prefer plants that don't require a lot of water or fertilizer.</t>
  </si>
  <si>
    <t>I want to improve my digestion, so I choose plants that are known for their digestive benefits, like ginger.</t>
  </si>
  <si>
    <t>I love discovering rare plants online and having them shipped to me.</t>
  </si>
  <si>
    <t>Norfolk Island Pine</t>
  </si>
  <si>
    <t>I want to enjoy the beauty of plants without having to spend a lot of time taking care of them.</t>
  </si>
  <si>
    <t>I love collecting unique plants that are hard to find.</t>
  </si>
  <si>
    <t>I prefer plants that don't require a lot of attention.</t>
  </si>
  <si>
    <t>I have a baby on the way, so I'm extra cautious about the plants I buy.</t>
  </si>
  <si>
    <t>Yucca</t>
  </si>
  <si>
    <t>I don't have a green thumb, so I only buy plants that are both low maintenance and non-toxic to pets.</t>
  </si>
  <si>
    <t>Christmas Cactus</t>
  </si>
  <si>
    <t>I like to challenge myself by growing rare species that require special attention.</t>
  </si>
  <si>
    <t>I always make sure the plant doesn't require too much water because I tend to forget to water them.</t>
  </si>
  <si>
    <t>Peace Lily</t>
  </si>
  <si>
    <t>I want to enjoy my plants without worrying about my toddler getting into them.</t>
  </si>
  <si>
    <t>I love the thrill of the hunt when it comes to finding rare plants to add to my collection.</t>
  </si>
  <si>
    <t>I prefer plants that have unique features, like variegated leaves or unusual growth habits, that are hard to find.</t>
  </si>
  <si>
    <t>I like to challenge myself by growing rare or unique species that require special care.</t>
  </si>
  <si>
    <t>I prefer plants that are safe for pets and children, even if they're a bit more expensive.</t>
  </si>
  <si>
    <t>Finding a plant that's easy to care for and safe for my pets is crucial for me.</t>
  </si>
  <si>
    <t>I always choose plants that don't require direct sunlight, since I don't have many windows in my apartment.</t>
  </si>
  <si>
    <t>I want to improve my heart health, so I choose plants that are known for their cardiovascular benefits, like garlic.</t>
  </si>
  <si>
    <t>I choose plants that have natural anti-aging properties, like pomegranate, for overall health benefits.</t>
  </si>
  <si>
    <t>I always look for plants that are a good value for the price, and won't require a lot of maintenance or care.</t>
  </si>
  <si>
    <t>I prefer plants that have natural healing properties, like aloe vera, for minor cuts and burns.</t>
  </si>
  <si>
    <t>Cordyline</t>
  </si>
  <si>
    <t>I don't want to take any chances, so I always choose non-toxic plants.</t>
  </si>
  <si>
    <t>I prefer plants that are compact and won't take up too much space on my balcony or porch.</t>
  </si>
  <si>
    <t>My dog is like family, so I only buy plants that won't hurt him.</t>
  </si>
  <si>
    <t>I like to show off my rare or unique plants to friends and family.</t>
  </si>
  <si>
    <t>I have a young child, so I need to be sure the plant is safe for her.</t>
  </si>
  <si>
    <t>I choose plants that have natural anti-inflammatory properties, like turmeric, for overall health benefits.</t>
  </si>
  <si>
    <t>I've had bad experiences with toxic plants in the past, so now I only buy non-toxic options.</t>
  </si>
  <si>
    <t>I want to make sure my pets and kids can coexist with my plants safely.</t>
  </si>
  <si>
    <t>I always check to see if the plant is safe for my dog before buying it.</t>
  </si>
  <si>
    <t>I want to improve my memory and focus, so I choose plants that are known for their cognitive benefits, like rosemary.</t>
  </si>
  <si>
    <t>As a pet owner, I always prioritize my animal's safety when buying plants.</t>
  </si>
  <si>
    <t>I'm always on the lookout for unique or wild plants that will stand out in my collection.</t>
  </si>
  <si>
    <t>I look for plants that can handle irregular watering because I tend to forget to water them on a regular schedule.</t>
  </si>
  <si>
    <t>I always consider the watering requirements before buying a plant because I don't want to be constantly checking on it.</t>
  </si>
  <si>
    <t>I prefer plants that are hard to find and have unique characteristics.</t>
  </si>
  <si>
    <t>I like to have plants around, but I don't want to spend a lot of time taking care of them.</t>
  </si>
  <si>
    <t>I want my plants to be a reflection of my personality, so I choose rare or unique species.</t>
  </si>
  <si>
    <t>once a year</t>
  </si>
  <si>
    <t>I want my plants to be a safe addition to my home, so I only choose non-toxic options.</t>
  </si>
  <si>
    <t>I choose plants that have natural anti-itch properties, like chamomile, for bug bites and rashes.</t>
  </si>
  <si>
    <t>I like plants that can survive in low light conditions, since I don't have many sunny spots in my home.</t>
  </si>
  <si>
    <t>I prefer plants that are not commonly seen in people's homes, and have unique characteristics.</t>
  </si>
  <si>
    <t>I only buy plants that are easy to care for.</t>
  </si>
  <si>
    <t>I want plants that are easy to propagate, so I can have more of them throughout my home.</t>
  </si>
  <si>
    <t>As someone who travels frequently, I need a plant that won't die if I'm away for a few weeks.</t>
  </si>
  <si>
    <t>I want my plants to be unique and special!</t>
  </si>
  <si>
    <t>I love using plants in my cooking, so I choose ones that have unique and interesting flavors, like cilantro.</t>
  </si>
  <si>
    <t>I live in a small apartment with minimal natural light, so I need plants that can thrive in low light.</t>
  </si>
  <si>
    <t>I don't want to worry about my cat getting into the plant and getting sick.</t>
  </si>
  <si>
    <t>Succulents</t>
  </si>
  <si>
    <t>I have a young child who loves to explore, so I only buy plants that are safe for her.</t>
  </si>
  <si>
    <t>I prefer plants that have natural anti-septic properties, like lavender, to keep my home clean and healthy.</t>
  </si>
  <si>
    <t>I want plants that are easy to take care of, so I choose ones that don't grow too big.</t>
  </si>
  <si>
    <t>Low maintenance is key for me when it comes to plants, as I don't have a lot of experience with gardening.</t>
  </si>
  <si>
    <t>Easy light requirements are a top priority for me, since I don't have a lot of sun exposure in my home.</t>
  </si>
  <si>
    <t>I want to make sure my plants won't harm my dog or any visiting children.</t>
  </si>
  <si>
    <t>I choose plants that are small enough to fit in my terrariums and planters.</t>
  </si>
  <si>
    <t>I love my pets and want to make sure they're safe around my plants.</t>
  </si>
  <si>
    <t>I have a curious dog, so I need to be careful about what plants I bring home.</t>
  </si>
  <si>
    <t>I prefer plants that are not commonly found in stores, and have unique features.</t>
  </si>
  <si>
    <t>I always look for plants that are safe for pets and children before considering any other factors.</t>
  </si>
  <si>
    <t>I want to enjoy having plants without the hassle of high maintenance requirements.</t>
  </si>
  <si>
    <t>I only buy plants that require low light, since I don't get much sun in my apartment.</t>
  </si>
  <si>
    <t>I prefer plants that have a story behind them, like rare or unique species that were hard to find.</t>
  </si>
  <si>
    <t>I have a dog, so I always check if the plant is pet-friendly and has air-purifying qualities.</t>
  </si>
  <si>
    <t>I prefer plants that are small enough to fit on my desk or nightstand.</t>
  </si>
  <si>
    <t>I don't want to take any risks, so I always err on the side of caution and choose non-toxic plants.</t>
  </si>
  <si>
    <t>I have a baby who's just learning to crawl, so I need to be sure the plant won't harm her.</t>
  </si>
  <si>
    <t>I like to buy plants that are big and impressive, so they make a statement in my home.</t>
  </si>
  <si>
    <t>I love adding unique plants to my collection and watching them thrive.</t>
  </si>
  <si>
    <t>Staghorn Fern</t>
  </si>
  <si>
    <t>I prefer plants that don't require a lot of upkeep.</t>
  </si>
  <si>
    <t>Croton</t>
  </si>
  <si>
    <t>I always check the watering requirements before buying a plant because I don't want to over or under-water it.</t>
  </si>
  <si>
    <t>I like to propagate my plants, so I choose ones that are easy to propagate and share with friends.</t>
  </si>
  <si>
    <t>I want to be able to move my plants around easily, so I choose lightweight options.</t>
  </si>
  <si>
    <t>I like to have plants that are the same size and shape, so they look uniform in my space.</t>
  </si>
  <si>
    <t>I want to make sure my plants are a safe addition to my home, especially with my pets and young child.</t>
  </si>
  <si>
    <t>I prefer plants that don't require direct sunlight, since I don't have many windows.</t>
  </si>
  <si>
    <t>I like to have a lot of plants, so I choose small ones that I can fit on my shelves and tables.</t>
  </si>
  <si>
    <t>I'm always on the lookout for rare or unique plants to add to my collection.</t>
  </si>
  <si>
    <t>I want to be able to enjoy plants without breaking the bank, so I choose affordable options.</t>
  </si>
  <si>
    <t>I love having plants around, but I don't want to spend a lot of time taking care of them.</t>
  </si>
  <si>
    <t>I want to improve my vision, so I choose plants that are known for their eye health benefits, like carrots.</t>
  </si>
  <si>
    <t>I'm not great at remembering to water plants, so low maintenance options are a must for me.</t>
  </si>
  <si>
    <t>I only buy plants that I know are safe for my pets and children.</t>
  </si>
  <si>
    <t>I travel frequently, so I need plants that can survive with minimal care.</t>
  </si>
  <si>
    <t>I want each and every plant I buy to be a unique expression of my style.</t>
  </si>
  <si>
    <t>I have a cat who likes to nibble on plants, so I need to be sure they won't harm her.</t>
  </si>
  <si>
    <t>I want to make sure my plants are a safe addition to my home, especially with my young children.</t>
  </si>
  <si>
    <t>I always check the labels to see if the plant is safe for pets and children before buying it.</t>
  </si>
  <si>
    <t>Rubber Plant</t>
  </si>
  <si>
    <t>I have a dog who loves to chew on things, so I need to be sure the plant won't harm him.</t>
  </si>
  <si>
    <t>I want to enjoy having plants in my home, but I don't want them to be too much work or pose a risk to my pets.</t>
  </si>
  <si>
    <t>I love plants that have natural energy-boosting properties, like ginseng, to help me power through the day.</t>
  </si>
  <si>
    <t>I want to make sure my plants are non-toxic for both my pets and children.</t>
  </si>
  <si>
    <t>I want to incorporate plants into my decor, but I need options that are low maintenance and easy to care for.</t>
  </si>
  <si>
    <t>I have a toddler who likes to put things in her mouth, so I need to be sure the plant won't harm her.</t>
  </si>
  <si>
    <t>I love using plants in my home decor, so I choose ones that have unique and interesting shapes and textures.</t>
  </si>
  <si>
    <t>I don't have the space for a big garden, so I choose plants that can be grown in containers and don't require a lot of soil.</t>
  </si>
  <si>
    <t>I prefer plants that have natural anti-allergy properties, like nettle, to reduce my allergy symptoms.</t>
  </si>
  <si>
    <t>I choose plants that have natural anti-cancer properties, like broccoli, for overall health benefits.</t>
  </si>
  <si>
    <t>I love my pets and want to make sure they're safe around my plants, so I only buy pet-friendly options.</t>
  </si>
  <si>
    <t>I always check to see if the plant is safe for my cat before buying it.</t>
  </si>
  <si>
    <t>I choose plants that have natural anti-fungal properties, like tea tree oil, to keep my home and body healthy.</t>
  </si>
  <si>
    <t>I choose plants that have natural anti-inflammatory properties, like green tea, for overall health benefits.</t>
  </si>
  <si>
    <t>I want to make sure my plants are a safe addition to my home, especially with my cat and young child.</t>
  </si>
  <si>
    <t>I choose plants that are small and easy to propagate, so I can have more of them throughout my home.</t>
  </si>
  <si>
    <t>I want to improve my mental health, so I choose plants that are known to reduce anxiety and stress.</t>
  </si>
  <si>
    <t>I only buy plants that won't pose a risk to my pets or children.</t>
  </si>
  <si>
    <t>I have a young child who loves to explore, so I need to be sure the plant won't harm her if she touches it.</t>
  </si>
  <si>
    <t>I'm always searching for rare plants to add to my indoor jungle.</t>
  </si>
  <si>
    <t>I love to cook with fresh herbs, so I choose plants that are known for their culinary benefits.</t>
  </si>
  <si>
    <t>I want to improve my respiratory health, so I choose plants that are known for their respiratory benefits, like eucalyptus.</t>
  </si>
  <si>
    <t>I want to make sure my plants are non-toxic for my pets and children, even if it means spending a bit more.</t>
  </si>
  <si>
    <t>I always look for affordable plants that won't break the bank.</t>
  </si>
  <si>
    <t>I want plants that are easy to take care of, so I choose small ones that won't require a lot of space or attention.</t>
  </si>
  <si>
    <t>Easy light requirements are a must for me, since I don't have a lot of natural light in my apartment.</t>
  </si>
  <si>
    <t>I prefer plants that have natural anti-depressant properties, like St. John's Wort, to improve my mood.</t>
  </si>
  <si>
    <t>I prefer plants that are affordable and won't require a lot of special knowledge or expertise to care for.</t>
  </si>
  <si>
    <t>I always research the plant to make sure it's safe for my pets and children before buying it.</t>
  </si>
  <si>
    <t>I always look for rare or unique species that will make a statement in my home.</t>
  </si>
  <si>
    <t>I like to have a mix of small and large plants, so my home feels balanced.</t>
  </si>
  <si>
    <t>I want my plants to be conversation starters, so I choose funky, rare plants.</t>
  </si>
  <si>
    <t>I like to have greenery in my home, but I don't want to spend a lot of time tending to them.</t>
  </si>
  <si>
    <t>I love using plants in my hair care routine, so I choose ones that have natural beauty benefits, like aloe vera.</t>
  </si>
  <si>
    <t>I have a bird, so I need to be careful about the plants I bring into my home.</t>
  </si>
  <si>
    <t>I want to make sure my plants won't harm my pets or children, so I only choose non-toxic options.</t>
  </si>
  <si>
    <t>I don't have a lot of time for plant care, so I always look for low-maintenance options.</t>
  </si>
  <si>
    <t>I want to improve my sleep quality, so I choose plants that are known for their calming effects.</t>
  </si>
  <si>
    <t>I love finding rare or unique plants at local nurseries and plant shops.</t>
  </si>
  <si>
    <t>I want to enjoy my plants without the stress of complex care requirements.</t>
  </si>
  <si>
    <t>As a pet owner, I want to make sure my furry friend can coexist safely with my plants, so I always choose pet-friendly options.</t>
  </si>
  <si>
    <t>Since I don't have a lot of natural light, I always look for plants that can thrive in low light conditions.</t>
  </si>
  <si>
    <t>My toddler is always exploring, so I only buy plants that won't harm her if she touches them.</t>
  </si>
  <si>
    <t>I want to enjoy the benefits of plants without the hassle of high maintenance care.</t>
  </si>
  <si>
    <t>I choose plants that are tall and add height to my room.</t>
  </si>
  <si>
    <t>I don't want to take any chances, so I only buy plants that are safe for both my cat and my children.</t>
  </si>
  <si>
    <t>reason_for_purchase_free_response</t>
  </si>
  <si>
    <t>Bird's Nest Fern</t>
  </si>
  <si>
    <t>light-requirements</t>
  </si>
  <si>
    <t>water-requirements</t>
  </si>
  <si>
    <t>toxic</t>
  </si>
  <si>
    <t>maintenance-requirements</t>
  </si>
  <si>
    <t>African Violets</t>
  </si>
  <si>
    <t>filtered-light</t>
  </si>
  <si>
    <t>water-intensive</t>
  </si>
  <si>
    <t>safe for pets &amp; children</t>
  </si>
  <si>
    <t>high-maintenance</t>
  </si>
  <si>
    <t>low-light</t>
  </si>
  <si>
    <t>drought-tolerant</t>
  </si>
  <si>
    <t>low-maintenance</t>
  </si>
  <si>
    <t>med-maintenance</t>
  </si>
  <si>
    <t>Alocasia</t>
  </si>
  <si>
    <t>Anthurium</t>
  </si>
  <si>
    <t>Areca Palm</t>
  </si>
  <si>
    <t>Arrowhead Vine</t>
  </si>
  <si>
    <t>Bird of Paradise</t>
  </si>
  <si>
    <t>direct-light</t>
  </si>
  <si>
    <t>Dieffenbachia</t>
  </si>
  <si>
    <t>Dracaena</t>
  </si>
  <si>
    <t>English Ivy</t>
  </si>
  <si>
    <t>Ferns (other)</t>
  </si>
  <si>
    <t>Ficus (other)</t>
  </si>
  <si>
    <t>Nerve Plant</t>
  </si>
  <si>
    <t>Jade Plant</t>
  </si>
  <si>
    <t>Pilea</t>
  </si>
  <si>
    <t>Pothos</t>
  </si>
  <si>
    <t>Sansevieria</t>
  </si>
  <si>
    <t>Spider Plant</t>
  </si>
  <si>
    <t>plant</t>
  </si>
  <si>
    <t>maintenance</t>
  </si>
  <si>
    <t>safe-for-pets</t>
  </si>
  <si>
    <t>survey_id</t>
  </si>
  <si>
    <t>8nju37</t>
  </si>
  <si>
    <t>1gys03</t>
  </si>
  <si>
    <t>0bfv17</t>
  </si>
  <si>
    <t>7ekg91</t>
  </si>
  <si>
    <t>1fzy30</t>
  </si>
  <si>
    <t>2caw97</t>
  </si>
  <si>
    <t>2mas20</t>
  </si>
  <si>
    <t>9tad61</t>
  </si>
  <si>
    <t>5kau98</t>
  </si>
  <si>
    <t>1kjz94</t>
  </si>
  <si>
    <t>9hik85</t>
  </si>
  <si>
    <t>7cuh94</t>
  </si>
  <si>
    <t>0onh83</t>
  </si>
  <si>
    <t>1oqc93</t>
  </si>
  <si>
    <t>4nqv16</t>
  </si>
  <si>
    <t>5otu13</t>
  </si>
  <si>
    <t>5bsz56</t>
  </si>
  <si>
    <t>7tem78</t>
  </si>
  <si>
    <t>7lra04</t>
  </si>
  <si>
    <t>1fst62</t>
  </si>
  <si>
    <t>5vtj80</t>
  </si>
  <si>
    <t>9imf89</t>
  </si>
  <si>
    <t>6rlw91</t>
  </si>
  <si>
    <t>6dcl35</t>
  </si>
  <si>
    <t>4yvt12</t>
  </si>
  <si>
    <t>8yoq59</t>
  </si>
  <si>
    <t>2ieg62</t>
  </si>
  <si>
    <t>4ing89</t>
  </si>
  <si>
    <t>3hkl06</t>
  </si>
  <si>
    <t>3hft85</t>
  </si>
  <si>
    <t>4qha50</t>
  </si>
  <si>
    <t>4fju64</t>
  </si>
  <si>
    <t>2ndy19</t>
  </si>
  <si>
    <t>3kjs23</t>
  </si>
  <si>
    <t>5ofy59</t>
  </si>
  <si>
    <t>5qcz80</t>
  </si>
  <si>
    <t>3sui92</t>
  </si>
  <si>
    <t>9nmu69</t>
  </si>
  <si>
    <t>3zek73</t>
  </si>
  <si>
    <t>6aez51</t>
  </si>
  <si>
    <t>3vdt92</t>
  </si>
  <si>
    <t>0kws56</t>
  </si>
  <si>
    <t>4art60</t>
  </si>
  <si>
    <t>4efh75</t>
  </si>
  <si>
    <t>1uyf07</t>
  </si>
  <si>
    <t>6hsq68</t>
  </si>
  <si>
    <t>2jfn98</t>
  </si>
  <si>
    <t>5gdt69</t>
  </si>
  <si>
    <t>5phm98</t>
  </si>
  <si>
    <t>6twd42</t>
  </si>
  <si>
    <t>5fdu75</t>
  </si>
  <si>
    <t>8szc32</t>
  </si>
  <si>
    <t>2leu24</t>
  </si>
  <si>
    <t>3rxl84</t>
  </si>
  <si>
    <t>8auc35</t>
  </si>
  <si>
    <t>0xob78</t>
  </si>
  <si>
    <t>1rsg03</t>
  </si>
  <si>
    <t>0bqz04</t>
  </si>
  <si>
    <t>1lqj57</t>
  </si>
  <si>
    <t>6hdm54</t>
  </si>
  <si>
    <t>5kzm08</t>
  </si>
  <si>
    <t>0vtd06</t>
  </si>
  <si>
    <t>5nrl71</t>
  </si>
  <si>
    <t>8oyq63</t>
  </si>
  <si>
    <t>4cpw64</t>
  </si>
  <si>
    <t>4weu24</t>
  </si>
  <si>
    <t>9dlw50</t>
  </si>
  <si>
    <t>4nqs21</t>
  </si>
  <si>
    <t>0zkn19</t>
  </si>
  <si>
    <t>3uvp16</t>
  </si>
  <si>
    <t>0fqk85</t>
  </si>
  <si>
    <t>0rwt50</t>
  </si>
  <si>
    <t>2ncw65</t>
  </si>
  <si>
    <t>5ars97</t>
  </si>
  <si>
    <t>7dzh92</t>
  </si>
  <si>
    <t>1ifh53</t>
  </si>
  <si>
    <t>0mku34</t>
  </si>
  <si>
    <t>6obl36</t>
  </si>
  <si>
    <t>3sgt49</t>
  </si>
  <si>
    <t>9lpc06</t>
  </si>
  <si>
    <t>4njv95</t>
  </si>
  <si>
    <t>8eoy94</t>
  </si>
  <si>
    <t>9etx84</t>
  </si>
  <si>
    <t>2bxj58</t>
  </si>
  <si>
    <t>9jsv38</t>
  </si>
  <si>
    <t>5iws21</t>
  </si>
  <si>
    <t>7hbu73</t>
  </si>
  <si>
    <t>4ivf26</t>
  </si>
  <si>
    <t>2fkw26</t>
  </si>
  <si>
    <t>8qku37</t>
  </si>
  <si>
    <t>5rme07</t>
  </si>
  <si>
    <t>7dci92</t>
  </si>
  <si>
    <t>0uyn15</t>
  </si>
  <si>
    <t>3lth02</t>
  </si>
  <si>
    <t>4gqa38</t>
  </si>
  <si>
    <t>5qry47</t>
  </si>
  <si>
    <t>6vuk39</t>
  </si>
  <si>
    <t>8bho84</t>
  </si>
  <si>
    <t>5ftv16</t>
  </si>
  <si>
    <t>8txw45</t>
  </si>
  <si>
    <t>9vdi90</t>
  </si>
  <si>
    <t>9iag17</t>
  </si>
  <si>
    <t>7rpw67</t>
  </si>
  <si>
    <t>4mte96</t>
  </si>
  <si>
    <t>6wzx59</t>
  </si>
  <si>
    <t>6rvz13</t>
  </si>
  <si>
    <t>6wfq41</t>
  </si>
  <si>
    <t>3ctz09</t>
  </si>
  <si>
    <t>4ryz04</t>
  </si>
  <si>
    <t>8wyo15</t>
  </si>
  <si>
    <t>0opl53</t>
  </si>
  <si>
    <t>5lwu76</t>
  </si>
  <si>
    <t>0imd28</t>
  </si>
  <si>
    <t>0qoh58</t>
  </si>
  <si>
    <t>5wzk98</t>
  </si>
  <si>
    <t>5ozn19</t>
  </si>
  <si>
    <t>7bde57</t>
  </si>
  <si>
    <t>9qir69</t>
  </si>
  <si>
    <t>1srh87</t>
  </si>
  <si>
    <t>1yfb60</t>
  </si>
  <si>
    <t>6jbc72</t>
  </si>
  <si>
    <t>4crh85</t>
  </si>
  <si>
    <t>8plg04</t>
  </si>
  <si>
    <t>8azx61</t>
  </si>
  <si>
    <t>5vsb16</t>
  </si>
  <si>
    <t>2uvs31</t>
  </si>
  <si>
    <t>7wbs74</t>
  </si>
  <si>
    <t>3hcq23</t>
  </si>
  <si>
    <t>6pyw09</t>
  </si>
  <si>
    <t>3kdc19</t>
  </si>
  <si>
    <t>8yuv87</t>
  </si>
  <si>
    <t>4qkx79</t>
  </si>
  <si>
    <t>6vxd27</t>
  </si>
  <si>
    <t>4fnp12</t>
  </si>
  <si>
    <t>2yrx34</t>
  </si>
  <si>
    <t>9blg84</t>
  </si>
  <si>
    <t>9jtm95</t>
  </si>
  <si>
    <t>4kei43</t>
  </si>
  <si>
    <t>8mqe29</t>
  </si>
  <si>
    <t>1irs93</t>
  </si>
  <si>
    <t>0swv92</t>
  </si>
  <si>
    <t>7rwg13</t>
  </si>
  <si>
    <t>4bhq14</t>
  </si>
  <si>
    <t>3paf51</t>
  </si>
  <si>
    <t>2gbs96</t>
  </si>
  <si>
    <t>2pye95</t>
  </si>
  <si>
    <t>6vck21</t>
  </si>
  <si>
    <t>5xnw05</t>
  </si>
  <si>
    <t>5heo14</t>
  </si>
  <si>
    <t>9lgz50</t>
  </si>
  <si>
    <t>3egy42</t>
  </si>
  <si>
    <t>6ljd91</t>
  </si>
  <si>
    <t>5oqu18</t>
  </si>
  <si>
    <t>2ubi53</t>
  </si>
  <si>
    <t>7ayi89</t>
  </si>
  <si>
    <t>7rzi23</t>
  </si>
  <si>
    <t>6jot49</t>
  </si>
  <si>
    <t>9rdn59</t>
  </si>
  <si>
    <t>5pqk30</t>
  </si>
  <si>
    <t>4wxu90</t>
  </si>
  <si>
    <t>5nyu13</t>
  </si>
  <si>
    <t>9ahd63</t>
  </si>
  <si>
    <t>3vsg91</t>
  </si>
  <si>
    <t>8hfm54</t>
  </si>
  <si>
    <t>7vqo36</t>
  </si>
  <si>
    <t>4tdl72</t>
  </si>
  <si>
    <t>4zoc52</t>
  </si>
  <si>
    <t>8ybz01</t>
  </si>
  <si>
    <t>9doa71</t>
  </si>
  <si>
    <t>9mfe35</t>
  </si>
  <si>
    <t>8ufi74</t>
  </si>
  <si>
    <t>9zjt50</t>
  </si>
  <si>
    <t>8rna32</t>
  </si>
  <si>
    <t>8csf73</t>
  </si>
  <si>
    <t>3rgl01</t>
  </si>
  <si>
    <t>8lgq98</t>
  </si>
  <si>
    <t>7jng79</t>
  </si>
  <si>
    <t>9bxk79</t>
  </si>
  <si>
    <t>0cef62</t>
  </si>
  <si>
    <t>3xic78</t>
  </si>
  <si>
    <t>1pgo30</t>
  </si>
  <si>
    <t>8aqo87</t>
  </si>
  <si>
    <t>8jqu60</t>
  </si>
  <si>
    <t>2nyj69</t>
  </si>
  <si>
    <t>7crj71</t>
  </si>
  <si>
    <t>0cjl69</t>
  </si>
  <si>
    <t>4tku58</t>
  </si>
  <si>
    <t>6evw84</t>
  </si>
  <si>
    <t>6tak43</t>
  </si>
  <si>
    <t>1hxu32</t>
  </si>
  <si>
    <t>6ern84</t>
  </si>
  <si>
    <t>6yhj02</t>
  </si>
  <si>
    <t>0iwx94</t>
  </si>
  <si>
    <t>7esk95</t>
  </si>
  <si>
    <t>8soq83</t>
  </si>
  <si>
    <t>5xoj50</t>
  </si>
  <si>
    <t>8hxs71</t>
  </si>
  <si>
    <t>0ztb09</t>
  </si>
  <si>
    <t>9zcy62</t>
  </si>
  <si>
    <t>3aeu18</t>
  </si>
  <si>
    <t>2fxu15</t>
  </si>
  <si>
    <t>4blm50</t>
  </si>
  <si>
    <t>4syk05</t>
  </si>
  <si>
    <t>8tjs06</t>
  </si>
  <si>
    <t>8jmy10</t>
  </si>
  <si>
    <t>9nsl50</t>
  </si>
  <si>
    <t>9bkf02</t>
  </si>
  <si>
    <t>8czm97</t>
  </si>
  <si>
    <t>9tfz85</t>
  </si>
  <si>
    <t>8lsi58</t>
  </si>
  <si>
    <t>4xlp73</t>
  </si>
  <si>
    <t>2hbc76</t>
  </si>
  <si>
    <t>3zhy98</t>
  </si>
  <si>
    <t>4lqc31</t>
  </si>
  <si>
    <t>9dpm21</t>
  </si>
  <si>
    <t>7jlq16</t>
  </si>
  <si>
    <t>5anx81</t>
  </si>
  <si>
    <t>2qfj74</t>
  </si>
  <si>
    <t>Task 1: Frequent Purchases</t>
  </si>
  <si>
    <t>(a)</t>
  </si>
  <si>
    <t>(b)</t>
  </si>
  <si>
    <t>(c)</t>
  </si>
  <si>
    <t>Next, use a PivotTable to group the survey responses the maintenance level and counts the number of responses for each level of maintenance.</t>
  </si>
  <si>
    <t>(d)</t>
  </si>
  <si>
    <t xml:space="preserve">What type of plants are most frequently purchased by customers? </t>
  </si>
  <si>
    <t>(e)</t>
  </si>
  <si>
    <t>What percentage of all survey responses list low-maintenance plants as the type of plant they most frequently purchase?</t>
  </si>
  <si>
    <t>Task 2: Reasons for Purchase</t>
  </si>
  <si>
    <t xml:space="preserve">Use a PivotTable to group the survey responses by the reason_for_purchase categories and counts the number of responses in each category. Sort the number of responses in each category from biggest to smallest. </t>
  </si>
  <si>
    <t>What percentage of all survey responses list care requirements (e.g. maintenance, light requirements, watering frequency, etc.)  as the most important factor in choosing a plant to buy?</t>
  </si>
  <si>
    <t>What percentage of all survey responses list whether or not a plant is pet-friendly or safe for children  as the most important factor in choosing what to buy?</t>
  </si>
  <si>
    <t>(f)</t>
  </si>
  <si>
    <t xml:space="preserve">What percentage of all survey responses list safe for pets &amp; children as the type of plant they most frequently purchase? </t>
  </si>
  <si>
    <t>Hint!</t>
  </si>
  <si>
    <t>Note</t>
  </si>
  <si>
    <t>Which types of plants are most frequently purchased by customers?</t>
  </si>
  <si>
    <t>Are there any factors in choosing to buy a plant that are consistently important to customers?</t>
  </si>
  <si>
    <t>1)</t>
  </si>
  <si>
    <t>2)</t>
  </si>
  <si>
    <t>3)</t>
  </si>
  <si>
    <t>Insert your PivotTable here</t>
  </si>
  <si>
    <r>
      <t xml:space="preserve">In the safe-for-pets column of the responses table, use the </t>
    </r>
    <r>
      <rPr>
        <b/>
        <sz val="12"/>
        <color theme="1"/>
        <rFont val="Calibri"/>
        <family val="2"/>
        <scheme val="minor"/>
      </rPr>
      <t>XLOOKUP</t>
    </r>
    <r>
      <rPr>
        <sz val="12"/>
        <color theme="1"/>
        <rFont val="Calibri"/>
        <family val="2"/>
        <scheme val="minor"/>
      </rPr>
      <t xml:space="preserve"> function again to lookup the response to the question “What type of plants do you typically purchase?” (plant_types) and return whether or not the plant is safe for pets and children.</t>
    </r>
  </si>
  <si>
    <r>
      <t xml:space="preserve">In the reason_for_purchase column of the responses table, use the </t>
    </r>
    <r>
      <rPr>
        <b/>
        <sz val="12"/>
        <color theme="1"/>
        <rFont val="Calibri"/>
        <family val="2"/>
        <scheme val="minor"/>
      </rPr>
      <t>XLOOKUP</t>
    </r>
    <r>
      <rPr>
        <sz val="12"/>
        <color theme="1"/>
        <rFont val="Calibri"/>
        <family val="2"/>
        <scheme val="minor"/>
      </rPr>
      <t xml:space="preserve"> function to lookup the free response to the question “What factor is most important to you when choosing a plant to buy?” and return the reason for purchase category.</t>
    </r>
  </si>
  <si>
    <t>Data Dictionaries</t>
  </si>
  <si>
    <t>— The responses Table</t>
  </si>
  <si>
    <t>Survey responses to the question “What factor is most important to you when choosing a plant to buy?” This was a free-response question. </t>
  </si>
  <si>
    <t>Unique identifier for each survey response collected.</t>
  </si>
  <si>
    <t>Survey responses to the question “How often do you typically purchase plants?” Values are ‘weekly’, ‘monthly’, 'every few months', 'once a year', and 'rarely, only for special occasions'</t>
  </si>
  <si>
    <t>Categories based on common themes in survey responses to the question “What plant care information would you like to see provided in-store or online?” Values are 'pet-safe information', 'light requirements', 'watering frequency &amp; amount', 'propagation techniques', and 'soil type &amp; fertilization'</t>
  </si>
  <si>
    <t>Survey responses to the question “What kind of pots or planters do you prefer for your plants?” Values are 'ceramic', 'terracotta', 'plastic', 'metal', 'hanging baskets', and 'wall-mounted planters'</t>
  </si>
  <si>
    <t>column name</t>
  </si>
  <si>
    <t>description</t>
  </si>
  <si>
    <t>Categories based on common themes in reason_for_purchase_free_response. Values are 'care requirements', 'benefits', 'pet-friendly or safe for children', 'size', 'rare or unique species', and 'price'.</t>
  </si>
  <si>
    <t>Type of plant. Matches plant_type in the responses table.</t>
  </si>
  <si>
    <t xml:space="preserve">Minimum light requirements for maintenance. Values are 'low light', 'indirect light', and 'direct light'. </t>
  </si>
  <si>
    <t>Minimum water-requirements for maintenance. Values are 'water-intensive' and 'drought-tolerant'.</t>
  </si>
  <si>
    <t xml:space="preserve">The general maintenance level of a plant, based on the combination of light and water requirements. Values are 'low-maintenance', 'med-maintenance', and 'high-maintenance'. </t>
  </si>
  <si>
    <t>Whether or not a plant is 'safe for pets &amp; children' or 'toxic'.</t>
  </si>
  <si>
    <t>— The plant_info Table</t>
  </si>
  <si>
    <t>— The reason Table</t>
  </si>
  <si>
    <t>Survey responses to the question “What type of plants do you typically purchase?” Values are various kinds of plants!</t>
  </si>
  <si>
    <r>
      <rPr>
        <b/>
        <sz val="26"/>
        <color theme="0"/>
        <rFont val="Calibri"/>
        <family val="2"/>
        <scheme val="minor"/>
      </rPr>
      <t>LiveLab |</t>
    </r>
    <r>
      <rPr>
        <sz val="26"/>
        <color theme="0"/>
        <rFont val="Calibri"/>
        <family val="2"/>
        <scheme val="minor"/>
      </rPr>
      <t xml:space="preserve"> Terracotta Survey Analysis</t>
    </r>
  </si>
  <si>
    <t>Eben at Terracotta wants to analyze his customer survey data. Remember, he has three very specific questions he needs answers to:</t>
  </si>
  <si>
    <t>Eben asked us to uncover which types of plants are most frequently purchased by customers. Terracotta maintains a list of care requirements (e.g. light requirements, watering frequency) by plant type. This is in the sheet called plant-info.</t>
  </si>
  <si>
    <t>Eben is really eager to understand what’s driving plant moms and plant dads to decide which ready-to-nurture plants they want to take home. Lucky for us, a more senior analyst already assigned a category to each and every free response from the survey. The categorization is in the free-response-analysis sheet.</t>
  </si>
  <si>
    <t>Let’s get back to Eben's main concern that motivated this analysis. How might Eben use what you found as part of a potential marketing or advertising strategy? Are there ways that you can use what you learned to drive success in online plant sales?</t>
  </si>
  <si>
    <t>Together with your team, craft a data-driven recommendation to Eben.</t>
  </si>
  <si>
    <t>Task 3: A Recommendation for Terracotta</t>
  </si>
  <si>
    <t>What information should we advertise to boost Terracotta sales?</t>
  </si>
  <si>
    <r>
      <t xml:space="preserve">Try this prompt: </t>
    </r>
    <r>
      <rPr>
        <sz val="12"/>
        <color theme="1"/>
        <rFont val="Calibri"/>
        <family val="2"/>
        <scheme val="minor"/>
      </rPr>
      <t>My analysis shows that the most frequently purchased plant types are [blank], [blank], and [blank], while the top reasons customers choose plants are [blank], [blank], and [blank]. Given these insights, what recommendations would you make for how Eben should structure his online store and marketing strategy to align with customer preferences?</t>
    </r>
  </si>
  <si>
    <r>
      <t xml:space="preserve">In the maintenance column of the responses table, use the </t>
    </r>
    <r>
      <rPr>
        <b/>
        <sz val="12"/>
        <color theme="1"/>
        <rFont val="Calibri"/>
        <family val="2"/>
        <scheme val="minor"/>
      </rPr>
      <t>XLOOKUP</t>
    </r>
    <r>
      <rPr>
        <sz val="12"/>
        <color theme="1"/>
        <rFont val="Calibri"/>
        <family val="2"/>
        <scheme val="minor"/>
      </rPr>
      <t xml:space="preserve"> function to lookup the response to the question “What type of plants do you typically purchase?” (plant_types) and return the maintenance level required by the plant.</t>
    </r>
  </si>
  <si>
    <t>Question</t>
  </si>
  <si>
    <t>Value</t>
  </si>
  <si>
    <t>Tolerance</t>
  </si>
  <si>
    <t>1d</t>
  </si>
  <si>
    <t>1e</t>
  </si>
  <si>
    <t>1f</t>
  </si>
  <si>
    <t>2c</t>
  </si>
  <si>
    <t>2d</t>
  </si>
  <si>
    <t>low-maintenance plants</t>
  </si>
  <si>
    <t>Row Labels</t>
  </si>
  <si>
    <t>Grand Total</t>
  </si>
  <si>
    <t>Count of maintenance</t>
  </si>
  <si>
    <t>Count of safe-for-pets</t>
  </si>
  <si>
    <t>Count of reason_for_purchase</t>
  </si>
  <si>
    <t>Low Maintenance</t>
  </si>
  <si>
    <t>Our analysis shows that low-maintenance, pet-safe, and bright-light plants are the most frequently purchased. Customers consistently prioritize care requirements, aesthetic appeal, and safety for pets and children when choosing which plants to buy. To align with these preferences, Eben should structure the online store with filters that highlight these key features and clearly label products with icons or descriptions that reflect maintenance level, light needs, and pet safety. Marketing efforts should emphasize ease of care and safety in ad copy, email campaigns, and social media, while also offering helpful content like care guides and pet-safe plant recommendations. This approach will make it easier for customers to find what they’re looking for and help drive more online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</si>
</sst>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sz val="26"/>
      <color theme="0"/>
      <name val="Calibri"/>
      <family val="2"/>
      <scheme val="minor"/>
    </font>
    <font>
      <b/>
      <sz val="26"/>
      <color theme="0"/>
      <name val="Calibri"/>
      <family val="2"/>
      <scheme val="minor"/>
    </font>
    <font>
      <sz val="12"/>
      <color rgb="FF000000"/>
      <name val="+mn-lt"/>
      <charset val="1"/>
    </font>
    <font>
      <b/>
      <sz val="12"/>
      <color rgb="FF000000"/>
      <name val="+mn-lt"/>
      <charset val="1"/>
    </font>
    <font>
      <b/>
      <sz val="18"/>
      <color rgb="FF000000"/>
      <name val="Calibri"/>
      <family val="2"/>
      <scheme val="minor"/>
    </font>
    <font>
      <b/>
      <sz val="11"/>
      <color rgb="FF000000"/>
      <name val="Calibri"/>
      <family val="2"/>
      <scheme val="minor"/>
    </font>
    <font>
      <sz val="12"/>
      <color theme="9" tint="0.7999816888943144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D"/>
        <bgColor indexed="64"/>
      </patternFill>
    </fill>
    <fill>
      <patternFill patternType="solid">
        <fgColor rgb="FFDDEBF8"/>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AEF4D3"/>
        <bgColor indexed="64"/>
      </patternFill>
    </fill>
    <fill>
      <patternFill patternType="solid">
        <fgColor rgb="FF70AD47"/>
        <bgColor rgb="FF000000"/>
      </patternFill>
    </fill>
    <fill>
      <patternFill patternType="solid">
        <fgColor theme="9"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rgb="FF2BEE98"/>
      </top>
      <bottom/>
      <diagonal/>
    </border>
    <border>
      <left style="medium">
        <color theme="0"/>
      </left>
      <right style="medium">
        <color theme="0"/>
      </right>
      <top style="thin">
        <color rgb="FF2AEE98"/>
      </top>
      <bottom style="medium">
        <color theme="0"/>
      </bottom>
      <diagonal/>
    </border>
    <border>
      <left style="medium">
        <color theme="0"/>
      </left>
      <right style="medium">
        <color theme="0"/>
      </right>
      <top/>
      <bottom style="medium">
        <color theme="0"/>
      </bottom>
      <diagonal/>
    </border>
    <border>
      <left/>
      <right/>
      <top/>
      <bottom style="thin">
        <color rgb="FF2AEE98"/>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17" fillId="13" borderId="0" xfId="23"/>
    <xf numFmtId="0" fontId="0" fillId="0" borderId="0" xfId="0" applyAlignment="1">
      <alignment horizontal="center"/>
    </xf>
    <xf numFmtId="0" fontId="0" fillId="34" borderId="10" xfId="0" applyFill="1" applyBorder="1" applyAlignment="1">
      <alignment horizontal="right"/>
    </xf>
    <xf numFmtId="0" fontId="0" fillId="34" borderId="10" xfId="0" applyFill="1" applyBorder="1" applyAlignment="1">
      <alignment horizontal="center" vertical="center"/>
    </xf>
    <xf numFmtId="0" fontId="0" fillId="34" borderId="10" xfId="0" applyFill="1" applyBorder="1" applyAlignment="1">
      <alignment horizontal="left" vertical="center"/>
    </xf>
    <xf numFmtId="0" fontId="16" fillId="34" borderId="12" xfId="0" applyFont="1" applyFill="1" applyBorder="1" applyAlignment="1">
      <alignment horizontal="center"/>
    </xf>
    <xf numFmtId="0" fontId="0" fillId="0" borderId="12" xfId="0" applyBorder="1" applyAlignment="1">
      <alignment vertical="center"/>
    </xf>
    <xf numFmtId="0" fontId="0" fillId="35" borderId="12" xfId="0" applyFill="1" applyBorder="1" applyAlignment="1">
      <alignment vertical="center"/>
    </xf>
    <xf numFmtId="0" fontId="0" fillId="0" borderId="12" xfId="0" applyBorder="1"/>
    <xf numFmtId="0" fontId="0" fillId="35" borderId="12" xfId="0" applyFill="1" applyBorder="1"/>
    <xf numFmtId="0" fontId="24" fillId="38" borderId="0" xfId="0" applyFont="1" applyFill="1" applyAlignment="1">
      <alignment wrapText="1"/>
    </xf>
    <xf numFmtId="0" fontId="25" fillId="39" borderId="0" xfId="0" applyFont="1" applyFill="1"/>
    <xf numFmtId="10" fontId="25" fillId="39" borderId="0" xfId="0" applyNumberFormat="1" applyFont="1" applyFill="1"/>
    <xf numFmtId="0" fontId="23" fillId="0" borderId="11" xfId="0" applyFont="1" applyBorder="1" applyAlignment="1">
      <alignment horizontal="left" vertical="center"/>
    </xf>
    <xf numFmtId="0" fontId="16" fillId="34" borderId="12" xfId="0" applyFont="1" applyFill="1" applyBorder="1" applyAlignment="1">
      <alignment horizontal="center"/>
    </xf>
    <xf numFmtId="0" fontId="0" fillId="0" borderId="12" xfId="0" applyBorder="1" applyAlignment="1">
      <alignment wrapText="1"/>
    </xf>
    <xf numFmtId="0" fontId="0" fillId="0" borderId="12" xfId="0" applyBorder="1" applyAlignment="1">
      <alignment vertical="center"/>
    </xf>
    <xf numFmtId="0" fontId="0" fillId="35" borderId="12" xfId="0" applyFill="1" applyBorder="1" applyAlignment="1">
      <alignment horizontal="left"/>
    </xf>
    <xf numFmtId="0" fontId="0" fillId="35" borderId="12" xfId="0" applyFill="1" applyBorder="1" applyAlignment="1">
      <alignment horizontal="left" wrapText="1"/>
    </xf>
    <xf numFmtId="0" fontId="0" fillId="0" borderId="12" xfId="0" applyBorder="1" applyAlignment="1">
      <alignment horizontal="left"/>
    </xf>
    <xf numFmtId="0" fontId="0" fillId="0" borderId="12" xfId="0" applyBorder="1" applyAlignment="1">
      <alignment horizontal="left" wrapText="1"/>
    </xf>
    <xf numFmtId="0" fontId="0" fillId="35" borderId="12" xfId="0" applyFill="1" applyBorder="1" applyAlignment="1">
      <alignment vertical="center"/>
    </xf>
    <xf numFmtId="0" fontId="0" fillId="35" borderId="12" xfId="0" applyFill="1" applyBorder="1" applyAlignment="1">
      <alignment wrapText="1"/>
    </xf>
    <xf numFmtId="0" fontId="20" fillId="33" borderId="10" xfId="0" applyFont="1" applyFill="1" applyBorder="1" applyAlignment="1">
      <alignment horizontal="center" vertical="center"/>
    </xf>
    <xf numFmtId="0" fontId="19" fillId="33" borderId="10" xfId="0" applyFont="1" applyFill="1" applyBorder="1" applyAlignment="1">
      <alignment horizontal="center" vertical="center"/>
    </xf>
    <xf numFmtId="0" fontId="13" fillId="33" borderId="0" xfId="0" applyFont="1" applyFill="1" applyAlignment="1">
      <alignment horizontal="center"/>
    </xf>
    <xf numFmtId="0" fontId="0" fillId="34" borderId="10" xfId="0" applyFill="1" applyBorder="1" applyAlignment="1">
      <alignment horizontal="center" wrapText="1"/>
    </xf>
    <xf numFmtId="0" fontId="0" fillId="34" borderId="10" xfId="0" applyFill="1" applyBorder="1"/>
    <xf numFmtId="0" fontId="13" fillId="33" borderId="10" xfId="0" applyFont="1" applyFill="1" applyBorder="1" applyAlignment="1">
      <alignment horizontal="center" vertical="center"/>
    </xf>
    <xf numFmtId="0" fontId="0" fillId="34" borderId="10" xfId="0" applyFill="1" applyBorder="1" applyAlignment="1">
      <alignment horizontal="center" vertical="center"/>
    </xf>
    <xf numFmtId="0" fontId="0" fillId="34" borderId="10" xfId="0" applyFill="1" applyBorder="1" applyAlignment="1">
      <alignment horizontal="left" vertical="center" wrapText="1"/>
    </xf>
    <xf numFmtId="0" fontId="18" fillId="33" borderId="10" xfId="0" applyFont="1" applyFill="1" applyBorder="1" applyAlignment="1">
      <alignment horizontal="center"/>
    </xf>
    <xf numFmtId="10" fontId="0" fillId="35" borderId="10" xfId="1" applyNumberFormat="1" applyFont="1" applyFill="1" applyBorder="1" applyAlignment="1">
      <alignment horizontal="left" vertical="center"/>
    </xf>
    <xf numFmtId="0" fontId="0" fillId="35" borderId="10" xfId="0" applyFill="1" applyBorder="1" applyAlignment="1">
      <alignment horizontal="left" vertical="center"/>
    </xf>
    <xf numFmtId="10" fontId="0" fillId="35" borderId="10" xfId="0" applyNumberFormat="1" applyFill="1" applyBorder="1" applyAlignment="1">
      <alignment horizontal="left" vertical="center"/>
    </xf>
    <xf numFmtId="0" fontId="0" fillId="34" borderId="14" xfId="0" applyFill="1" applyBorder="1" applyAlignment="1">
      <alignment horizontal="left"/>
    </xf>
    <xf numFmtId="0" fontId="0" fillId="34" borderId="10" xfId="0" applyFill="1" applyBorder="1" applyAlignment="1">
      <alignment horizontal="center" vertical="center" wrapText="1"/>
    </xf>
    <xf numFmtId="0" fontId="0" fillId="34" borderId="15" xfId="0" applyFill="1" applyBorder="1" applyAlignment="1">
      <alignment horizontal="center"/>
    </xf>
    <xf numFmtId="0" fontId="0" fillId="34" borderId="10" xfId="0" applyFill="1" applyBorder="1" applyAlignment="1">
      <alignment horizontal="center"/>
    </xf>
    <xf numFmtId="0" fontId="0" fillId="34" borderId="10" xfId="0" applyFill="1" applyBorder="1" applyAlignment="1">
      <alignment horizontal="left" wrapText="1"/>
    </xf>
    <xf numFmtId="0" fontId="16" fillId="37" borderId="13" xfId="0" applyFont="1" applyFill="1" applyBorder="1" applyAlignment="1">
      <alignment horizontal="left" vertical="center" wrapText="1"/>
    </xf>
    <xf numFmtId="0" fontId="16" fillId="37" borderId="0" xfId="0" applyFont="1" applyFill="1" applyAlignment="1">
      <alignment horizontal="left" vertical="center" wrapText="1"/>
    </xf>
    <xf numFmtId="0" fontId="16" fillId="37" borderId="13" xfId="0" applyFont="1" applyFill="1" applyBorder="1" applyAlignment="1">
      <alignment horizontal="center" vertical="center" wrapText="1"/>
    </xf>
    <xf numFmtId="0" fontId="16" fillId="37" borderId="0" xfId="0" applyFont="1" applyFill="1" applyAlignment="1">
      <alignment horizontal="center" vertical="center" wrapText="1"/>
    </xf>
    <xf numFmtId="0" fontId="16" fillId="37" borderId="16"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35" borderId="17" xfId="0" applyFill="1" applyBorder="1" applyAlignment="1">
      <alignment horizontal="left" vertical="center"/>
    </xf>
    <xf numFmtId="0" fontId="0" fillId="35" borderId="18" xfId="0" applyFill="1" applyBorder="1" applyAlignment="1">
      <alignment horizontal="left" vertical="center"/>
    </xf>
    <xf numFmtId="10" fontId="0" fillId="0" borderId="0" xfId="0" applyNumberFormat="1"/>
    <xf numFmtId="0" fontId="0" fillId="36" borderId="19" xfId="0" applyFill="1" applyBorder="1" applyAlignment="1">
      <alignment horizontal="left" vertical="top"/>
    </xf>
    <xf numFmtId="0" fontId="0" fillId="36" borderId="11" xfId="0" applyFill="1" applyBorder="1" applyAlignment="1">
      <alignment horizontal="left" vertical="top"/>
    </xf>
    <xf numFmtId="0" fontId="0" fillId="36" borderId="20" xfId="0" applyFill="1" applyBorder="1" applyAlignment="1">
      <alignment horizontal="left" vertical="top"/>
    </xf>
    <xf numFmtId="0" fontId="0" fillId="36" borderId="21" xfId="0" applyFill="1" applyBorder="1" applyAlignment="1">
      <alignment horizontal="left" vertical="top"/>
    </xf>
    <xf numFmtId="0" fontId="0" fillId="36" borderId="0" xfId="0" applyFill="1" applyBorder="1" applyAlignment="1">
      <alignment horizontal="left" vertical="top"/>
    </xf>
    <xf numFmtId="0" fontId="0" fillId="36" borderId="22" xfId="0" applyFill="1" applyBorder="1" applyAlignment="1">
      <alignment horizontal="left" vertical="top"/>
    </xf>
    <xf numFmtId="0" fontId="0" fillId="36" borderId="23" xfId="0" applyFill="1" applyBorder="1" applyAlignment="1">
      <alignment horizontal="left" vertical="top"/>
    </xf>
    <xf numFmtId="0" fontId="0" fillId="36" borderId="24" xfId="0" applyFill="1" applyBorder="1" applyAlignment="1">
      <alignment horizontal="left" vertical="top"/>
    </xf>
    <xf numFmtId="0" fontId="0" fillId="36" borderId="25" xfId="0" applyFill="1" applyBorder="1" applyAlignment="1">
      <alignment horizontal="left"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0" formatCode="General"/>
    </dxf>
    <dxf>
      <numFmt numFmtId="0" formatCode="General"/>
    </dxf>
    <dxf>
      <numFmt numFmtId="0" formatCode="General"/>
    </dxf>
    <dxf>
      <fill>
        <patternFill>
          <bgColor theme="5"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mruColors>
      <color rgb="FFDDEBF8"/>
      <color rgb="FF72D1ED"/>
      <color rgb="FFF5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9.573709490738" createdVersion="8" refreshedVersion="8" minRefreshableVersion="3" recordCount="217" xr:uid="{FAAC4821-8BC8-944F-9042-7947D51E6524}">
  <cacheSource type="worksheet">
    <worksheetSource name="responses"/>
  </cacheSource>
  <cacheFields count="9">
    <cacheField name="survey_id" numFmtId="0">
      <sharedItems/>
    </cacheField>
    <cacheField name="plant_types" numFmtId="0">
      <sharedItems/>
    </cacheField>
    <cacheField name="maintenance" numFmtId="0">
      <sharedItems count="3">
        <s v="low-maintenance"/>
        <s v="med-maintenance"/>
        <s v="high-maintenance"/>
      </sharedItems>
    </cacheField>
    <cacheField name="safe-for-pets" numFmtId="0">
      <sharedItems count="2">
        <s v="safe for pets &amp; children"/>
        <s v="toxic"/>
      </sharedItems>
    </cacheField>
    <cacheField name="reason_for_purchase_free_response" numFmtId="0">
      <sharedItems/>
    </cacheField>
    <cacheField name="reason_for_purchase" numFmtId="0">
      <sharedItems containsBlank="1" count="7">
        <s v="care requirements"/>
        <s v="benefits"/>
        <s v="pet-friendly or safe for children"/>
        <s v="size"/>
        <s v="rare or unique species"/>
        <s v="price"/>
        <m u="1"/>
      </sharedItems>
    </cacheField>
    <cacheField name="freq" numFmtId="0">
      <sharedItems/>
    </cacheField>
    <cacheField name="care_info" numFmtId="0">
      <sharedItems/>
    </cacheField>
    <cacheField name="po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8nju37"/>
    <s v="ZZ Plant"/>
    <x v="0"/>
    <x v="0"/>
    <s v="Low maintenance and pet-friendly are my top priorities when choosing a plant."/>
    <x v="0"/>
    <s v="every few months"/>
    <s v="pet-safe information"/>
    <s v="ceramic"/>
  </r>
  <r>
    <s v="1gys03"/>
    <s v="Hoya"/>
    <x v="0"/>
    <x v="0"/>
    <s v="I love using plants in my beauty routine, so I choose ones that have natural healing properties, like tea tree oil."/>
    <x v="1"/>
    <s v="monthly"/>
    <s v="pet-safe information"/>
    <s v="terracotta"/>
  </r>
  <r>
    <s v="0bfv17"/>
    <s v="Chinese Evergreen"/>
    <x v="0"/>
    <x v="0"/>
    <s v="I always make sure the plant is non-toxic to my cat."/>
    <x v="2"/>
    <s v="weekly"/>
    <s v="light requirements"/>
    <s v="ceramic"/>
  </r>
  <r>
    <s v="7ekg91"/>
    <s v="Boston Fern"/>
    <x v="1"/>
    <x v="0"/>
    <s v="Low maintenance and pet-safe are the two factors I always consider when buying a plant."/>
    <x v="0"/>
    <s v="every few months"/>
    <s v="pet-safe information"/>
    <s v="plastic"/>
  </r>
  <r>
    <s v="1fzy30"/>
    <s v="Begonia"/>
    <x v="1"/>
    <x v="0"/>
    <s v="I prefer plants that have natural anti-aging properties, like acai berries, for overall health benefits."/>
    <x v="1"/>
    <s v="weekly"/>
    <s v="watering frequency &amp; amount"/>
    <s v="hanging baskets"/>
  </r>
  <r>
    <s v="2caw97"/>
    <s v="Schefflera"/>
    <x v="0"/>
    <x v="0"/>
    <s v="I want my plants to be a source of relaxation, not added stress, so I choose low-maintenance options."/>
    <x v="0"/>
    <s v="rarely, only for special occasions"/>
    <s v="pet-safe information"/>
    <s v="ceramic"/>
  </r>
  <r>
    <s v="2mas20"/>
    <s v="Maidenhair Fern"/>
    <x v="1"/>
    <x v="0"/>
    <s v="I'm not the best with plants, so I choose ones that are known for being easy to care for."/>
    <x v="0"/>
    <s v="monthly"/>
    <s v="propagation techniques"/>
    <s v="terracotta"/>
  </r>
  <r>
    <s v="9tad61"/>
    <s v="ZZ Plant"/>
    <x v="0"/>
    <x v="0"/>
    <s v="I prefer plants that are small and easy to move around, so I can change up my decor often."/>
    <x v="3"/>
    <s v="rarely, only for special occasions"/>
    <s v="watering frequency &amp; amount"/>
    <s v="wall-mounted planters"/>
  </r>
  <r>
    <s v="5kau98"/>
    <s v="ZZ Plant"/>
    <x v="0"/>
    <x v="0"/>
    <s v="I don't have a lot of space, so I choose plants that are small and easy to care for."/>
    <x v="3"/>
    <s v="monthly"/>
    <s v="propagation techniques"/>
    <s v="plastic"/>
  </r>
  <r>
    <s v="1kjz94"/>
    <s v="Parlour Palm"/>
    <x v="0"/>
    <x v="0"/>
    <s v="I want my plants to be Instagram-worthy, so I choose rare ones, no matter the cost."/>
    <x v="4"/>
    <s v="rarely, only for special occasions"/>
    <s v="soil type &amp; fertilization"/>
    <s v="hanging baskets"/>
  </r>
  <r>
    <s v="9hik85"/>
    <s v="ZZ Plant"/>
    <x v="0"/>
    <x v="0"/>
    <s v="safety for my children is my top priority, so I look for plants that won't harm them."/>
    <x v="2"/>
    <s v="every few months"/>
    <s v="light requirements"/>
    <s v="hanging baskets"/>
  </r>
  <r>
    <s v="7cuh94"/>
    <s v="Schefflera"/>
    <x v="0"/>
    <x v="0"/>
    <s v="I only buy plants that are safe for both kids and pets."/>
    <x v="2"/>
    <s v="monthly"/>
    <s v="light requirements"/>
    <s v="terracotta"/>
  </r>
  <r>
    <s v="0onh83"/>
    <s v="Chinese Evergreen"/>
    <x v="0"/>
    <x v="0"/>
    <s v="I'm not the best at keeping plants alive, so I always choose low-maintenance options."/>
    <x v="0"/>
    <s v="monthly"/>
    <s v="pet-safe information"/>
    <s v="ceramic"/>
  </r>
  <r>
    <s v="1oqc93"/>
    <s v="Chinese Evergreen"/>
    <x v="0"/>
    <x v="0"/>
    <s v="I only buy plants that are drought-tolerant because I'm not great at remembering to water them."/>
    <x v="0"/>
    <s v="every few months"/>
    <s v="watering frequency &amp; amount"/>
    <s v="plastic"/>
  </r>
  <r>
    <s v="4nqv16"/>
    <s v="Peperomia"/>
    <x v="0"/>
    <x v="0"/>
    <s v="Low maintenance plants that can thrive in low light are perfect for my apartment."/>
    <x v="0"/>
    <s v="every few months"/>
    <s v="light requirements"/>
    <s v="wall-mounted planters"/>
  </r>
  <r>
    <s v="5otu13"/>
    <s v="Cast-Iron Plant"/>
    <x v="0"/>
    <x v="0"/>
    <s v="I always look for plants that have air-purifying qualities for a healthier home."/>
    <x v="1"/>
    <s v="monthly"/>
    <s v="light requirements"/>
    <s v="ceramic"/>
  </r>
  <r>
    <s v="5bsz56"/>
    <s v="Phalaenopsis"/>
    <x v="1"/>
    <x v="0"/>
    <s v="I prefer plants that have natural anti-inflammatory properties, like turmeric, for overall health benefits."/>
    <x v="1"/>
    <s v="monthly"/>
    <s v="watering frequency &amp; amount"/>
    <s v="terracotta"/>
  </r>
  <r>
    <s v="7tem78"/>
    <s v="Hoya"/>
    <x v="0"/>
    <x v="0"/>
    <s v="I love using plants in my tea blends, so I choose ones that have unique and interesting flavors, like hibiscus."/>
    <x v="1"/>
    <s v="weekly"/>
    <s v="light requirements"/>
    <s v="plastic"/>
  </r>
  <r>
    <s v="7lra04"/>
    <s v="Parlour Palm"/>
    <x v="0"/>
    <x v="0"/>
    <s v="I prefer plants that have natural pain-relieving properties, like chamomile, for headaches and cramps."/>
    <x v="1"/>
    <s v="monthly"/>
    <s v="watering frequency &amp; amount"/>
    <s v="hanging baskets"/>
  </r>
  <r>
    <s v="1fst62"/>
    <s v="Cast-Iron Plant"/>
    <x v="0"/>
    <x v="0"/>
    <s v="I want plants that require little care and attention since I'm not the best at keeping them alive."/>
    <x v="0"/>
    <s v="monthly"/>
    <s v="light requirements"/>
    <s v="terracotta"/>
  </r>
  <r>
    <s v="5vtj80"/>
    <s v="Chinese Evergreen"/>
    <x v="0"/>
    <x v="0"/>
    <s v="I want my plants to be one-of-a-kind."/>
    <x v="4"/>
    <s v="every few months"/>
    <s v="pet-safe information"/>
    <s v="terracotta"/>
  </r>
  <r>
    <s v="9imf89"/>
    <s v="Calathea"/>
    <x v="2"/>
    <x v="0"/>
    <s v="I have a dog, so I always check if the plant is pet-friendly."/>
    <x v="2"/>
    <s v="monthly"/>
    <s v="light requirements"/>
    <s v="terracotta"/>
  </r>
  <r>
    <s v="6rlw91"/>
    <s v="Parlour Palm"/>
    <x v="0"/>
    <x v="0"/>
    <s v="I don't have a green thumb, so I need a plant that's easy to care for."/>
    <x v="0"/>
    <s v="monthly"/>
    <s v="watering frequency &amp; amount"/>
    <s v="hanging baskets"/>
  </r>
  <r>
    <s v="6dcl35"/>
    <s v="Hoya"/>
    <x v="0"/>
    <x v="0"/>
    <s v="I like to buy plants that are small enough to fit on my windowsill."/>
    <x v="3"/>
    <s v="weekly"/>
    <s v="light requirements"/>
    <s v="terracotta"/>
  </r>
  <r>
    <s v="4yvt12"/>
    <s v="Chinese Evergreen"/>
    <x v="0"/>
    <x v="0"/>
    <s v="I love plants that have aromatherapy benefits, like lavender, to help me relax and sleep better."/>
    <x v="1"/>
    <s v="rarely, only for special occasions"/>
    <s v="watering frequency &amp; amount"/>
    <s v="plastic"/>
  </r>
  <r>
    <s v="8yoq59"/>
    <s v="Schefflera"/>
    <x v="0"/>
    <x v="0"/>
    <s v="I want plants that are easy to care for and don't require a lot of time or effort."/>
    <x v="0"/>
    <s v="every few months"/>
    <s v="light requirements"/>
    <s v="hanging baskets"/>
  </r>
  <r>
    <s v="2ieg62"/>
    <s v="ZZ Plant"/>
    <x v="0"/>
    <x v="0"/>
    <s v="I don't want to worry about keeping my plants near a window, so I choose options that can thrive in low light."/>
    <x v="0"/>
    <s v="every few months"/>
    <s v="light requirements"/>
    <s v="ceramic"/>
  </r>
  <r>
    <s v="4ing89"/>
    <s v="Philodendron Vines"/>
    <x v="0"/>
    <x v="0"/>
    <s v="I like to have plants in every room of my house, so I choose small ones that I can scatter around."/>
    <x v="3"/>
    <s v="weekly"/>
    <s v="watering frequency &amp; amount"/>
    <s v="terracotta"/>
  </r>
  <r>
    <s v="3hkl06"/>
    <s v="Hoya"/>
    <x v="0"/>
    <x v="0"/>
    <s v="I choose plants that have natural insect-repelling qualities, so I can avoid using harmful chemicals."/>
    <x v="1"/>
    <s v="every few months"/>
    <s v="watering frequency &amp; amount"/>
    <s v="terracotta"/>
  </r>
  <r>
    <s v="3hft85"/>
    <s v="Philodendron Vines"/>
    <x v="0"/>
    <x v="0"/>
    <s v="I don't want to risk my cat getting sick, so I only buy plants that are safe for felines."/>
    <x v="2"/>
    <s v="every few months"/>
    <s v="propagation techniques"/>
    <s v="terracotta"/>
  </r>
  <r>
    <s v="4qha50"/>
    <s v="Schefflera"/>
    <x v="0"/>
    <x v="0"/>
    <s v="As a mom, I need to make sure any plant I bring home won't harm my kids."/>
    <x v="2"/>
    <s v="every few months"/>
    <s v="pet-safe information"/>
    <s v="wall-mounted planters"/>
  </r>
  <r>
    <s v="4fju64"/>
    <s v="Cast-Iron Plant"/>
    <x v="0"/>
    <x v="0"/>
    <s v="I have a toddler, so safety is a major concern when buying plants."/>
    <x v="2"/>
    <s v="every few months"/>
    <s v="light requirements"/>
    <s v="wall-mounted planters"/>
  </r>
  <r>
    <s v="2ndy19"/>
    <s v="Peperomia"/>
    <x v="0"/>
    <x v="0"/>
    <s v="I prefer plants that have natural anti-inflammatory properties, like omega-3 rich flax seeds, for overall health benefits."/>
    <x v="1"/>
    <s v="every few months"/>
    <s v="light requirements"/>
    <s v="wall-mounted planters"/>
  </r>
  <r>
    <s v="3kjs23"/>
    <s v="Chinese Evergreen"/>
    <x v="0"/>
    <x v="0"/>
    <s v="I prefer plants that are non-toxic to pets and children."/>
    <x v="2"/>
    <s v="rarely, only for special occasions"/>
    <s v="soil type &amp; fertilization"/>
    <s v="plastic"/>
  </r>
  <r>
    <s v="5ofy59"/>
    <s v="Polka Dot Plant"/>
    <x v="2"/>
    <x v="0"/>
    <s v="I want to be able to buy plants without feeling guilty about the cost, so I choose affordable options."/>
    <x v="5"/>
    <s v="every few months"/>
    <s v="soil type &amp; fertilization"/>
    <s v="plastic"/>
  </r>
  <r>
    <s v="5qcz80"/>
    <s v="Air Plants"/>
    <x v="1"/>
    <x v="0"/>
    <s v="I prefer plants that can go without water for a few days because I travel frequently."/>
    <x v="0"/>
    <s v="every few months"/>
    <s v="watering frequency &amp; amount"/>
    <s v="hanging baskets"/>
  </r>
  <r>
    <s v="3sui92"/>
    <s v="Schefflera"/>
    <x v="0"/>
    <x v="0"/>
    <s v="I choose plants that have natural immune-boosting properties, like echinacea, to stay healthy."/>
    <x v="1"/>
    <s v="monthly"/>
    <s v="light requirements"/>
    <s v="plastic"/>
  </r>
  <r>
    <s v="9nmu69"/>
    <s v="Peperomia"/>
    <x v="0"/>
    <x v="0"/>
    <s v="I choose plants that are small and fit in cute planters, so they're not too overwhelming."/>
    <x v="3"/>
    <s v="every few months"/>
    <s v="light requirements"/>
    <s v="terracotta"/>
  </r>
  <r>
    <s v="3zek73"/>
    <s v="Cast-Iron Plant"/>
    <x v="0"/>
    <x v="0"/>
    <s v="I prefer plants that are large and leafy, so they make a big impact in my space."/>
    <x v="3"/>
    <s v="monthly"/>
    <s v="watering frequency &amp; amount"/>
    <s v="wall-mounted planters"/>
  </r>
  <r>
    <s v="6aez51"/>
    <s v="Boston Fern"/>
    <x v="1"/>
    <x v="0"/>
    <s v="I don't want to spend more than I have to on plants, so I choose ones that are reasonably priced."/>
    <x v="5"/>
    <s v="every few months"/>
    <s v="pet-safe information"/>
    <s v="plastic"/>
  </r>
  <r>
    <s v="3vdt92"/>
    <s v="Fiddle Leaf Fig"/>
    <x v="1"/>
    <x v="0"/>
    <s v="I don't want to spend a lot of money on plants that won't last, so I choose ones that are durable and long-lasting."/>
    <x v="5"/>
    <s v="rarely, only for special occasions"/>
    <s v="propagation techniques"/>
    <s v="terracotta"/>
  </r>
  <r>
    <s v="0kws56"/>
    <s v="Philodendrons"/>
    <x v="1"/>
    <x v="0"/>
    <s v="I love the challenge of growing rare plants that require special conditions."/>
    <x v="4"/>
    <s v="weekly"/>
    <s v="watering frequency &amp; amount"/>
    <s v="wall-mounted planters"/>
  </r>
  <r>
    <s v="4art60"/>
    <s v="Cast-Iron Plant"/>
    <x v="0"/>
    <x v="0"/>
    <s v="I want to improve my joint health, so I choose plants that are known for their anti-inflammatory properties, like turmeric."/>
    <x v="1"/>
    <s v="every few months"/>
    <s v="watering frequency &amp; amount"/>
    <s v="terracotta"/>
  </r>
  <r>
    <s v="4efh75"/>
    <s v="Peperomia"/>
    <x v="0"/>
    <x v="0"/>
    <s v="Easy light requirements are important to me, since I don't have much natural light in my home."/>
    <x v="0"/>
    <s v="monthly"/>
    <s v="light requirements"/>
    <s v="plastic"/>
  </r>
  <r>
    <s v="1uyf07"/>
    <s v="Phalaenopsis"/>
    <x v="1"/>
    <x v="0"/>
    <s v="I like to have plants that no one else has, so I choose super unique species."/>
    <x v="4"/>
    <s v="monthly"/>
    <s v="light requirements"/>
    <s v="hanging baskets"/>
  </r>
  <r>
    <s v="6hsq68"/>
    <s v="Peperomia"/>
    <x v="0"/>
    <x v="0"/>
    <s v="I look for plants that can survive with minimal watering because I don't have a lot of time to take care of them."/>
    <x v="0"/>
    <s v="every few months"/>
    <s v="watering frequency &amp; amount"/>
    <s v="terracotta"/>
  </r>
  <r>
    <s v="2jfn98"/>
    <s v="ZZ Plant"/>
    <x v="0"/>
    <x v="0"/>
    <s v="I always look for plants that are easy to care for and safe for my pets."/>
    <x v="0"/>
    <s v="every few months"/>
    <s v="pet-safe information"/>
    <s v="ceramic"/>
  </r>
  <r>
    <s v="5gdt69"/>
    <s v="Hoya"/>
    <x v="0"/>
    <x v="0"/>
    <s v="I love plants that have natural anti-bacterial properties, like thyme, to keep my home clean and healthy."/>
    <x v="1"/>
    <s v="every few months"/>
    <s v="soil type &amp; fertilization"/>
    <s v="hanging baskets"/>
  </r>
  <r>
    <s v="5phm98"/>
    <s v="Air Plants"/>
    <x v="1"/>
    <x v="0"/>
    <s v="I have a dog and a baby, so I need to be extra careful about the plants I choose."/>
    <x v="2"/>
    <s v="every few months"/>
    <s v="watering frequency &amp; amount"/>
    <s v="terracotta"/>
  </r>
  <r>
    <s v="6twd42"/>
    <s v="ZZ Plant"/>
    <x v="0"/>
    <x v="0"/>
    <s v="I prefer plants that can tolerate low light, since I don't have many windows in my living space."/>
    <x v="0"/>
    <s v="every few months"/>
    <s v="light requirements"/>
    <s v="wall-mounted planters"/>
  </r>
  <r>
    <s v="5fdu75"/>
    <s v="Phalaenopsis"/>
    <x v="1"/>
    <x v="0"/>
    <s v="I choose plants that have natural anti-anxiety properties, like valerian root, to reduce stress."/>
    <x v="1"/>
    <s v="monthly"/>
    <s v="watering frequency &amp; amount"/>
    <s v="hanging baskets"/>
  </r>
  <r>
    <s v="8szc32"/>
    <s v="Chinese Evergreen"/>
    <x v="0"/>
    <x v="0"/>
    <s v="I love finding good deals on plants, so I always look for sales and discounts."/>
    <x v="5"/>
    <s v="every few months"/>
    <s v="pet-safe information"/>
    <s v="plastic"/>
  </r>
  <r>
    <s v="2leu24"/>
    <s v="Schefflera"/>
    <x v="0"/>
    <x v="0"/>
    <s v="I prefer plants that are self-sufficient and don't require a lot of special care or attention."/>
    <x v="0"/>
    <s v="every few months"/>
    <s v="propagation techniques"/>
    <s v="terracotta"/>
  </r>
  <r>
    <s v="3rxl84"/>
    <s v="Hoya"/>
    <x v="0"/>
    <x v="0"/>
    <s v="I don't want to worry about my cat getting into the plant, so I always choose non-toxic options."/>
    <x v="2"/>
    <s v="monthly"/>
    <s v="light requirements"/>
    <s v="ceramic"/>
  </r>
  <r>
    <s v="8auc35"/>
    <s v="Parlour Palm"/>
    <x v="0"/>
    <x v="0"/>
    <s v="I prefer plants that have natural anti-viral properties, like elderberry, to stay healthy during cold and flu season."/>
    <x v="1"/>
    <s v="every few months"/>
    <s v="pet-safe information"/>
    <s v="terracotta"/>
  </r>
  <r>
    <s v="0xob78"/>
    <s v="Chinese Evergreen"/>
    <x v="0"/>
    <x v="0"/>
    <s v="I choose plants that have natural stress-reducing properties to create a more relaxing environment."/>
    <x v="1"/>
    <s v="every few months"/>
    <s v="light requirements"/>
    <s v="hanging baskets"/>
  </r>
  <r>
    <s v="1rsg03"/>
    <s v="Chinese Evergreen"/>
    <x v="0"/>
    <x v="0"/>
    <s v="I prefer plants that have unique shapes, colors, or textures that are hard to find."/>
    <x v="4"/>
    <s v="monthly"/>
    <s v="watering frequency &amp; amount"/>
    <s v="ceramic"/>
  </r>
  <r>
    <s v="0bqz04"/>
    <s v="ZZ Plant"/>
    <x v="0"/>
    <x v="0"/>
    <s v="I choose plants that are affordable and won't require a lot of expensive equipment or supplies to care for."/>
    <x v="5"/>
    <s v="every few months"/>
    <s v="pet-safe information"/>
    <s v="terracotta"/>
  </r>
  <r>
    <s v="6hdm54"/>
    <s v="Philodendron Vines"/>
    <x v="0"/>
    <x v="0"/>
    <s v="I don't have a green thumb, so I stick to low-maintenance plants."/>
    <x v="0"/>
    <s v="monthly"/>
    <s v="pet-safe information"/>
    <s v="terracotta"/>
  </r>
  <r>
    <s v="5kzm08"/>
    <s v="Maidenhair Fern"/>
    <x v="1"/>
    <x v="0"/>
    <s v="I want plants that are easy to care for and don't require a lot of attention or special care."/>
    <x v="0"/>
    <s v="rarely, only for special occasions"/>
    <s v="light requirements"/>
    <s v="ceramic"/>
  </r>
  <r>
    <s v="0vtd06"/>
    <s v="Parlour Palm"/>
    <x v="0"/>
    <x v="0"/>
    <s v="I want to improve my indoor air quality, so I choose plants that are known to remove toxins."/>
    <x v="1"/>
    <s v="every few months"/>
    <s v="watering frequency &amp; amount"/>
    <s v="wall-mounted planters"/>
  </r>
  <r>
    <s v="5nrl71"/>
    <s v="ZZ Plant"/>
    <x v="0"/>
    <x v="0"/>
    <s v="I live in a small space with limited light, so low maintenance and low light requirements are important."/>
    <x v="0"/>
    <s v="weekly"/>
    <s v="light requirements"/>
    <s v="ceramic"/>
  </r>
  <r>
    <s v="8oyq63"/>
    <s v="Hoya"/>
    <x v="0"/>
    <x v="0"/>
    <s v="I want to enjoy my plants without worrying about my dog or child getting sick."/>
    <x v="2"/>
    <s v="every few months"/>
    <s v="watering frequency &amp; amount"/>
    <s v="metal"/>
  </r>
  <r>
    <s v="4cpw64"/>
    <s v="Peperomia"/>
    <x v="0"/>
    <x v="0"/>
    <s v="I choose plants that are easy to move from room to room, so I can enjoy them anywhere in my home."/>
    <x v="3"/>
    <s v="every few months"/>
    <s v="watering frequency &amp; amount"/>
    <s v="plastic"/>
  </r>
  <r>
    <s v="4weu24"/>
    <s v="Hoya"/>
    <x v="0"/>
    <x v="0"/>
    <s v="I prefer plants that don't require frequent watering because I don't want to waste resources."/>
    <x v="0"/>
    <s v="rarely, only for special occasions"/>
    <s v="watering frequency &amp; amount"/>
    <s v="plastic"/>
  </r>
  <r>
    <s v="9dlw50"/>
    <s v="Philodendrons"/>
    <x v="1"/>
    <x v="0"/>
    <s v="I want my plants to be a reflection of me. I‚Äôm pretty unique!"/>
    <x v="4"/>
    <s v="weekly"/>
    <s v="pet-safe information"/>
    <s v="terracotta"/>
  </r>
  <r>
    <s v="4nqs21"/>
    <s v="ZZ Plant"/>
    <x v="0"/>
    <x v="0"/>
    <s v="I love my cat too much to take any chances, so I opt for non-toxic plants."/>
    <x v="2"/>
    <s v="every few months"/>
    <s v="pet-safe information"/>
    <s v="ceramic"/>
  </r>
  <r>
    <s v="0zkn19"/>
    <s v="Monstera"/>
    <x v="0"/>
    <x v="1"/>
    <s v="I have a busy schedule, so I need plants that don't require a lot of attention."/>
    <x v="0"/>
    <s v="every few months"/>
    <s v="pet-safe information"/>
    <s v="ceramic"/>
  </r>
  <r>
    <s v="3uvp16"/>
    <s v="Chinese Evergreen"/>
    <x v="0"/>
    <x v="0"/>
    <s v="My family's safety comes first, so I make sure the plant won't harm anyone."/>
    <x v="2"/>
    <s v="rarely, only for special occasions"/>
    <s v="light requirements"/>
    <s v="plastic"/>
  </r>
  <r>
    <s v="0fqk85"/>
    <s v="Cast-Iron Plant"/>
    <x v="0"/>
    <x v="0"/>
    <s v="I prefer small plants that won't take up too much space in my apartment."/>
    <x v="3"/>
    <s v="monthly"/>
    <s v="light requirements"/>
    <s v="hanging baskets"/>
  </r>
  <r>
    <s v="0rwt50"/>
    <s v="Air Plants"/>
    <x v="1"/>
    <x v="0"/>
    <s v="I want plants that are easy to transport, so I choose ones that are small and lightweight."/>
    <x v="3"/>
    <s v="monthly"/>
    <s v="watering frequency &amp; amount"/>
    <s v="wall-mounted planters"/>
  </r>
  <r>
    <s v="2ncw65"/>
    <s v="Cast-Iron Plant"/>
    <x v="0"/>
    <x v="0"/>
    <s v="I always research the plant to make sure it won't pose a risk to my kids or pets."/>
    <x v="2"/>
    <s v="every few months"/>
    <s v="light requirements"/>
    <s v="hanging baskets"/>
  </r>
  <r>
    <s v="5ars97"/>
    <s v="Philodendron Vines"/>
    <x v="0"/>
    <x v="0"/>
    <s v="I don't want to spend too much money, but I also want to make sure my pets are safe, so I choose plants that are affordable and non-toxic to them."/>
    <x v="5"/>
    <s v="rarely, only for special occasions"/>
    <s v="pet-safe information"/>
    <s v="terracotta"/>
  </r>
  <r>
    <s v="7dzh92"/>
    <s v="Phalaenopsis"/>
    <x v="1"/>
    <x v="0"/>
    <s v="I want to boost my mood naturally, so I choose plants with bright and cheerful colors."/>
    <x v="1"/>
    <s v="every few months"/>
    <s v="pet-safe information"/>
    <s v="ceramic"/>
  </r>
  <r>
    <s v="1ifh53"/>
    <s v="Schefflera"/>
    <x v="0"/>
    <x v="0"/>
    <s v="I only buy plants that are on sale or discounted."/>
    <x v="5"/>
    <s v="weekly"/>
    <s v="light requirements"/>
    <s v="hanging baskets"/>
  </r>
  <r>
    <s v="0mku34"/>
    <s v="Prayer Plant"/>
    <x v="2"/>
    <x v="0"/>
    <s v="I have a dog, so I need to be careful about the plants I bring home."/>
    <x v="2"/>
    <s v="every few months"/>
    <s v="pet-safe information"/>
    <s v="ceramic"/>
  </r>
  <r>
    <s v="6obl36"/>
    <s v="Chinese Evergreen"/>
    <x v="0"/>
    <x v="0"/>
    <s v="I love using plants in my skincare routine, so I choose ones that have natural beauty benefits."/>
    <x v="1"/>
    <s v="rarely, only for special occasions"/>
    <s v="light requirements"/>
    <s v="hanging baskets"/>
  </r>
  <r>
    <s v="3sgt49"/>
    <s v="Maidenhair Fern"/>
    <x v="1"/>
    <x v="0"/>
    <s v="I prefer plants that don't require a lot of attention or special soil, so I can enjoy them without worrying too much about their care."/>
    <x v="0"/>
    <s v="every few months"/>
    <s v="propagation techniques"/>
    <s v="ceramic"/>
  </r>
  <r>
    <s v="9lpc06"/>
    <s v="Philodendron Vines"/>
    <x v="0"/>
    <x v="0"/>
    <s v="I don't want to take any risks, so I stick to pet and child-friendly plants."/>
    <x v="2"/>
    <s v="every few months"/>
    <s v="soil type &amp; fertilization"/>
    <s v="wall-mounted planters"/>
  </r>
  <r>
    <s v="4njv95"/>
    <s v="Parlour Palm"/>
    <x v="0"/>
    <x v="0"/>
    <s v="I want to make sure my cat can't access the plant, but if he does, it won't harm him."/>
    <x v="2"/>
    <s v="every few months"/>
    <s v="pet-safe information"/>
    <s v="plastic"/>
  </r>
  <r>
    <s v="8eoy94"/>
    <s v="Peperomia"/>
    <x v="0"/>
    <x v="0"/>
    <s v="I want to be able to fit a lot of plants in my small apartment, so I choose ones that are compact."/>
    <x v="3"/>
    <s v="weekly"/>
    <s v="soil type &amp; fertilization"/>
    <s v="hanging baskets"/>
  </r>
  <r>
    <s v="9etx84"/>
    <s v="Peperomia"/>
    <x v="0"/>
    <x v="0"/>
    <s v="As a busy person, I need plants that won't require a lot of attention, so I always choose low-maintenance options."/>
    <x v="0"/>
    <s v="every few months"/>
    <s v="watering frequency &amp; amount"/>
    <s v="ceramic"/>
  </r>
  <r>
    <s v="2bxj58"/>
    <s v="Chinese Evergreen"/>
    <x v="0"/>
    <x v="0"/>
    <s v="I prefer plants that don't require a lot of water or fertilizer."/>
    <x v="0"/>
    <s v="monthly"/>
    <s v="watering frequency &amp; amount"/>
    <s v="terracotta"/>
  </r>
  <r>
    <s v="9jsv38"/>
    <s v="Schefflera"/>
    <x v="0"/>
    <x v="0"/>
    <s v="I want to improve my digestion, so I choose plants that are known for their digestive benefits, like ginger."/>
    <x v="1"/>
    <s v="rarely, only for special occasions"/>
    <s v="pet-safe information"/>
    <s v="terracotta"/>
  </r>
  <r>
    <s v="5iws21"/>
    <s v="Norfolk Island Pine"/>
    <x v="2"/>
    <x v="0"/>
    <s v="I love discovering rare plants online and having them shipped to me."/>
    <x v="4"/>
    <s v="rarely, only for special occasions"/>
    <s v="pet-safe information"/>
    <s v="terracotta"/>
  </r>
  <r>
    <s v="7hbu73"/>
    <s v="Philodendron Vines"/>
    <x v="0"/>
    <x v="0"/>
    <s v="I want to enjoy the beauty of plants without having to spend a lot of time taking care of them."/>
    <x v="0"/>
    <s v="weekly"/>
    <s v="watering frequency &amp; amount"/>
    <s v="ceramic"/>
  </r>
  <r>
    <s v="4ivf26"/>
    <s v="Cast-Iron Plant"/>
    <x v="0"/>
    <x v="0"/>
    <s v="I love collecting unique plants that are hard to find."/>
    <x v="4"/>
    <s v="rarely, only for special occasions"/>
    <s v="pet-safe information"/>
    <s v="hanging baskets"/>
  </r>
  <r>
    <s v="2fkw26"/>
    <s v="Hoya"/>
    <x v="0"/>
    <x v="0"/>
    <s v="I prefer plants that don't require a lot of attention."/>
    <x v="0"/>
    <s v="every few months"/>
    <s v="pet-safe information"/>
    <s v="wall-mounted planters"/>
  </r>
  <r>
    <s v="8qku37"/>
    <s v="Yucca"/>
    <x v="1"/>
    <x v="0"/>
    <s v="I have a baby on the way, so I'm extra cautious about the plants I buy."/>
    <x v="2"/>
    <s v="every few months"/>
    <s v="propagation techniques"/>
    <s v="ceramic"/>
  </r>
  <r>
    <s v="5rme07"/>
    <s v="Christmas Cactus"/>
    <x v="2"/>
    <x v="0"/>
    <s v="I don't have a green thumb, so I only buy plants that are both low maintenance and non-toxic to pets."/>
    <x v="0"/>
    <s v="every few months"/>
    <s v="pet-safe information"/>
    <s v="terracotta"/>
  </r>
  <r>
    <s v="7dci92"/>
    <s v="Peperomia"/>
    <x v="0"/>
    <x v="0"/>
    <s v="I like to challenge myself by growing rare species that require special attention."/>
    <x v="4"/>
    <s v="weekly"/>
    <s v="pet-safe information"/>
    <s v="hanging baskets"/>
  </r>
  <r>
    <s v="0uyn15"/>
    <s v="Peace Lily"/>
    <x v="2"/>
    <x v="0"/>
    <s v="I always make sure the plant doesn't require too much water because I tend to forget to water them."/>
    <x v="0"/>
    <s v="rarely, only for special occasions"/>
    <s v="watering frequency &amp; amount"/>
    <s v="ceramic"/>
  </r>
  <r>
    <s v="3lth02"/>
    <s v="Parlour Palm"/>
    <x v="0"/>
    <x v="0"/>
    <s v="I want to enjoy my plants without worrying about my toddler getting into them."/>
    <x v="2"/>
    <s v="monthly"/>
    <s v="watering frequency &amp; amount"/>
    <s v="plastic"/>
  </r>
  <r>
    <s v="4gqa38"/>
    <s v="ZZ Plant"/>
    <x v="0"/>
    <x v="0"/>
    <s v="I love the thrill of the hunt when it comes to finding rare plants to add to my collection."/>
    <x v="4"/>
    <s v="every few months"/>
    <s v="watering frequency &amp; amount"/>
    <s v="ceramic"/>
  </r>
  <r>
    <s v="5qry47"/>
    <s v="Parlour Palm"/>
    <x v="0"/>
    <x v="0"/>
    <s v="I prefer plants that have unique features, like variegated leaves or unusual growth habits, that are hard to find."/>
    <x v="4"/>
    <s v="every few months"/>
    <s v="light requirements"/>
    <s v="ceramic"/>
  </r>
  <r>
    <s v="6vuk39"/>
    <s v="Philodendron Vines"/>
    <x v="0"/>
    <x v="0"/>
    <s v="I like to challenge myself by growing rare or unique species that require special care."/>
    <x v="4"/>
    <s v="monthly"/>
    <s v="watering frequency &amp; amount"/>
    <s v="metal"/>
  </r>
  <r>
    <s v="8bho84"/>
    <s v="Peperomia"/>
    <x v="0"/>
    <x v="0"/>
    <s v="I prefer plants that are safe for pets and children, even if they're a bit more expensive."/>
    <x v="2"/>
    <s v="monthly"/>
    <s v="propagation techniques"/>
    <s v="terracotta"/>
  </r>
  <r>
    <s v="5ftv16"/>
    <s v="Hoya"/>
    <x v="0"/>
    <x v="0"/>
    <s v="Finding a plant that's easy to care for and safe for my pets is crucial for me."/>
    <x v="0"/>
    <s v="rarely, only for special occasions"/>
    <s v="pet-safe information"/>
    <s v="terracotta"/>
  </r>
  <r>
    <s v="8txw45"/>
    <s v="Chinese Evergreen"/>
    <x v="0"/>
    <x v="0"/>
    <s v="I always choose plants that don't require direct sunlight, since I don't have many windows in my apartment."/>
    <x v="0"/>
    <s v="weekly"/>
    <s v="light requirements"/>
    <s v="terracotta"/>
  </r>
  <r>
    <s v="9vdi90"/>
    <s v="Parlour Palm"/>
    <x v="0"/>
    <x v="0"/>
    <s v="I want to improve my heart health, so I choose plants that are known for their cardiovascular benefits, like garlic."/>
    <x v="1"/>
    <s v="monthly"/>
    <s v="light requirements"/>
    <s v="terracotta"/>
  </r>
  <r>
    <s v="9iag17"/>
    <s v="Peperomia"/>
    <x v="0"/>
    <x v="0"/>
    <s v="I choose plants that have natural anti-aging properties, like pomegranate, for overall health benefits."/>
    <x v="1"/>
    <s v="rarely, only for special occasions"/>
    <s v="pet-safe information"/>
    <s v="wall-mounted planters"/>
  </r>
  <r>
    <s v="7rpw67"/>
    <s v="Hoya"/>
    <x v="0"/>
    <x v="0"/>
    <s v="I always look for plants that are a good value for the price, and won't require a lot of maintenance or care."/>
    <x v="5"/>
    <s v="monthly"/>
    <s v="pet-safe information"/>
    <s v="hanging baskets"/>
  </r>
  <r>
    <s v="4mte96"/>
    <s v="Cordyline"/>
    <x v="1"/>
    <x v="0"/>
    <s v="I prefer plants that have natural healing properties, like aloe vera, for minor cuts and burns."/>
    <x v="1"/>
    <s v="monthly"/>
    <s v="propagation techniques"/>
    <s v="hanging baskets"/>
  </r>
  <r>
    <s v="6wzx59"/>
    <s v="Peperomia"/>
    <x v="0"/>
    <x v="0"/>
    <s v="I don't want to take any chances, so I always choose non-toxic plants."/>
    <x v="2"/>
    <s v="rarely, only for special occasions"/>
    <s v="watering frequency &amp; amount"/>
    <s v="hanging baskets"/>
  </r>
  <r>
    <s v="6rvz13"/>
    <s v="Schefflera"/>
    <x v="0"/>
    <x v="0"/>
    <s v="I prefer plants that are compact and won't take up too much space on my balcony or porch."/>
    <x v="3"/>
    <s v="every few months"/>
    <s v="propagation techniques"/>
    <s v="hanging baskets"/>
  </r>
  <r>
    <s v="6wfq41"/>
    <s v="Peperomia"/>
    <x v="0"/>
    <x v="0"/>
    <s v="My dog is like family, so I only buy plants that won't hurt him."/>
    <x v="2"/>
    <s v="weekly"/>
    <s v="light requirements"/>
    <s v="terracotta"/>
  </r>
  <r>
    <s v="3ctz09"/>
    <s v="Cast-Iron Plant"/>
    <x v="0"/>
    <x v="0"/>
    <s v="I like to show off my rare or unique plants to friends and family."/>
    <x v="4"/>
    <s v="rarely, only for special occasions"/>
    <s v="light requirements"/>
    <s v="metal"/>
  </r>
  <r>
    <s v="4ryz04"/>
    <s v="Chinese Evergreen"/>
    <x v="0"/>
    <x v="0"/>
    <s v="I have a young child, so I need to be sure the plant is safe for her."/>
    <x v="2"/>
    <s v="monthly"/>
    <s v="watering frequency &amp; amount"/>
    <s v="hanging baskets"/>
  </r>
  <r>
    <s v="8wyo15"/>
    <s v="ZZ Plant"/>
    <x v="0"/>
    <x v="0"/>
    <s v="I choose plants that have natural anti-inflammatory properties, like turmeric, for overall health benefits."/>
    <x v="1"/>
    <s v="every few months"/>
    <s v="pet-safe information"/>
    <s v="plastic"/>
  </r>
  <r>
    <s v="0opl53"/>
    <s v="Philodendron Vines"/>
    <x v="0"/>
    <x v="0"/>
    <s v="I've had bad experiences with toxic plants in the past, so now I only buy non-toxic options."/>
    <x v="2"/>
    <s v="every few months"/>
    <s v="pet-safe information"/>
    <s v="terracotta"/>
  </r>
  <r>
    <s v="5lwu76"/>
    <s v="Peperomia"/>
    <x v="0"/>
    <x v="0"/>
    <s v="I want to make sure my pets and kids can coexist with my plants safely."/>
    <x v="2"/>
    <s v="every few months"/>
    <s v="watering frequency &amp; amount"/>
    <s v="plastic"/>
  </r>
  <r>
    <s v="0imd28"/>
    <s v="Schefflera"/>
    <x v="0"/>
    <x v="0"/>
    <s v="I always check to see if the plant is safe for my dog before buying it."/>
    <x v="2"/>
    <s v="every few months"/>
    <s v="watering frequency &amp; amount"/>
    <s v="plastic"/>
  </r>
  <r>
    <s v="0qoh58"/>
    <s v="Cast-Iron Plant"/>
    <x v="0"/>
    <x v="0"/>
    <s v="I want to improve my memory and focus, so I choose plants that are known for their cognitive benefits, like rosemary."/>
    <x v="1"/>
    <s v="every few months"/>
    <s v="light requirements"/>
    <s v="terracotta"/>
  </r>
  <r>
    <s v="5wzk98"/>
    <s v="Chinese Evergreen"/>
    <x v="0"/>
    <x v="0"/>
    <s v="As a pet owner, I always prioritize my animal's safety when buying plants."/>
    <x v="2"/>
    <s v="monthly"/>
    <s v="pet-safe information"/>
    <s v="terracotta"/>
  </r>
  <r>
    <s v="5ozn19"/>
    <s v="ZZ Plant"/>
    <x v="0"/>
    <x v="0"/>
    <s v="I'm always on the lookout for unique or wild plants that will stand out in my collection."/>
    <x v="4"/>
    <s v="every few months"/>
    <s v="pet-safe information"/>
    <s v="ceramic"/>
  </r>
  <r>
    <s v="7bde57"/>
    <s v="Chinese Evergreen"/>
    <x v="0"/>
    <x v="0"/>
    <s v="I look for plants that can handle irregular watering because I tend to forget to water them on a regular schedule."/>
    <x v="0"/>
    <s v="rarely, only for special occasions"/>
    <s v="watering frequency &amp; amount"/>
    <s v="hanging baskets"/>
  </r>
  <r>
    <s v="9qir69"/>
    <s v="Parlour Palm"/>
    <x v="0"/>
    <x v="0"/>
    <s v="I always consider the watering requirements before buying a plant because I don't want to be constantly checking on it."/>
    <x v="0"/>
    <s v="every few months"/>
    <s v="watering frequency &amp; amount"/>
    <s v="hanging baskets"/>
  </r>
  <r>
    <s v="1srh87"/>
    <s v="Air Plants"/>
    <x v="1"/>
    <x v="0"/>
    <s v="I prefer plants that are hard to find and have unique characteristics."/>
    <x v="4"/>
    <s v="monthly"/>
    <s v="propagation techniques"/>
    <s v="ceramic"/>
  </r>
  <r>
    <s v="1yfb60"/>
    <s v="Schefflera"/>
    <x v="0"/>
    <x v="0"/>
    <s v="I like to have plants around, but I don't want to spend a lot of time taking care of them."/>
    <x v="0"/>
    <s v="weekly"/>
    <s v="pet-safe information"/>
    <s v="ceramic"/>
  </r>
  <r>
    <s v="6jbc72"/>
    <s v="Cordyline"/>
    <x v="1"/>
    <x v="0"/>
    <s v="I want my plants to be a reflection of my personality, so I choose rare or unique species."/>
    <x v="4"/>
    <s v="rarely, only for special occasions"/>
    <s v="light requirements"/>
    <s v="ceramic"/>
  </r>
  <r>
    <s v="4crh85"/>
    <s v="Philodendron Vines"/>
    <x v="0"/>
    <x v="0"/>
    <s v="I want my plants to be a safe addition to my home, so I only choose non-toxic options."/>
    <x v="2"/>
    <s v="once a year"/>
    <s v="pet-safe information"/>
    <s v="ceramic"/>
  </r>
  <r>
    <s v="8plg04"/>
    <s v="Cast-Iron Plant"/>
    <x v="0"/>
    <x v="0"/>
    <s v="I choose plants that have natural anti-itch properties, like chamomile, for bug bites and rashes."/>
    <x v="1"/>
    <s v="every few months"/>
    <s v="watering frequency &amp; amount"/>
    <s v="ceramic"/>
  </r>
  <r>
    <s v="8azx61"/>
    <s v="Philodendron Vines"/>
    <x v="0"/>
    <x v="0"/>
    <s v="I like plants that can survive in low light conditions, since I don't have many sunny spots in my home."/>
    <x v="0"/>
    <s v="monthly"/>
    <s v="light requirements"/>
    <s v="ceramic"/>
  </r>
  <r>
    <s v="5vsb16"/>
    <s v="Maidenhair Fern"/>
    <x v="1"/>
    <x v="0"/>
    <s v="I prefer plants that are not commonly seen in people's homes, and have unique characteristics."/>
    <x v="4"/>
    <s v="rarely, only for special occasions"/>
    <s v="light requirements"/>
    <s v="plastic"/>
  </r>
  <r>
    <s v="2uvs31"/>
    <s v="Chinese Evergreen"/>
    <x v="0"/>
    <x v="0"/>
    <s v="I only buy plants that are easy to care for."/>
    <x v="0"/>
    <s v="every few months"/>
    <s v="pet-safe information"/>
    <s v="terracotta"/>
  </r>
  <r>
    <s v="7wbs74"/>
    <s v="Phalaenopsis"/>
    <x v="1"/>
    <x v="0"/>
    <s v="I want plants that are easy to propagate, so I can have more of them throughout my home."/>
    <x v="3"/>
    <s v="rarely, only for special occasions"/>
    <s v="pet-safe information"/>
    <s v="terracotta"/>
  </r>
  <r>
    <s v="3hcq23"/>
    <s v="Schefflera"/>
    <x v="0"/>
    <x v="0"/>
    <s v="As someone who travels frequently, I need a plant that won't die if I'm away for a few weeks."/>
    <x v="0"/>
    <s v="every few months"/>
    <s v="watering frequency &amp; amount"/>
    <s v="ceramic"/>
  </r>
  <r>
    <s v="6pyw09"/>
    <s v="Schefflera"/>
    <x v="0"/>
    <x v="0"/>
    <s v="I want my plants to be unique and special!"/>
    <x v="4"/>
    <s v="every few months"/>
    <s v="propagation techniques"/>
    <s v="plastic"/>
  </r>
  <r>
    <s v="3kdc19"/>
    <s v="Schefflera"/>
    <x v="0"/>
    <x v="0"/>
    <s v="I love using plants in my cooking, so I choose ones that have unique and interesting flavors, like cilantro."/>
    <x v="1"/>
    <s v="rarely, only for special occasions"/>
    <s v="light requirements"/>
    <s v="ceramic"/>
  </r>
  <r>
    <s v="8yuv87"/>
    <s v="Chinese Evergreen"/>
    <x v="0"/>
    <x v="0"/>
    <s v="I live in a small apartment with minimal natural light, so I need plants that can thrive in low light."/>
    <x v="0"/>
    <s v="every few months"/>
    <s v="light requirements"/>
    <s v="ceramic"/>
  </r>
  <r>
    <s v="4qkx79"/>
    <s v="Succulents"/>
    <x v="1"/>
    <x v="0"/>
    <s v="I don't want to worry about my cat getting into the plant and getting sick."/>
    <x v="2"/>
    <s v="rarely, only for special occasions"/>
    <s v="pet-safe information"/>
    <s v="ceramic"/>
  </r>
  <r>
    <s v="6vxd27"/>
    <s v="Peperomia"/>
    <x v="0"/>
    <x v="0"/>
    <s v="I have a young child who loves to explore, so I only buy plants that are safe for her."/>
    <x v="2"/>
    <s v="monthly"/>
    <s v="pet-safe information"/>
    <s v="terracotta"/>
  </r>
  <r>
    <s v="4fnp12"/>
    <s v="Philodendron Vines"/>
    <x v="0"/>
    <x v="0"/>
    <s v="I prefer plants that have natural anti-septic properties, like lavender, to keep my home clean and healthy."/>
    <x v="1"/>
    <s v="rarely, only for special occasions"/>
    <s v="light requirements"/>
    <s v="ceramic"/>
  </r>
  <r>
    <s v="2yrx34"/>
    <s v="Philodendron Vines"/>
    <x v="0"/>
    <x v="0"/>
    <s v="I want plants that are easy to take care of, so I choose ones that don't grow too big."/>
    <x v="3"/>
    <s v="every few months"/>
    <s v="light requirements"/>
    <s v="metal"/>
  </r>
  <r>
    <s v="9blg84"/>
    <s v="Cast-Iron Plant"/>
    <x v="0"/>
    <x v="0"/>
    <s v="Low maintenance is key for me when it comes to plants, as I don't have a lot of experience with gardening."/>
    <x v="0"/>
    <s v="rarely, only for special occasions"/>
    <s v="watering frequency &amp; amount"/>
    <s v="hanging baskets"/>
  </r>
  <r>
    <s v="9jtm95"/>
    <s v="Philodendron Vines"/>
    <x v="0"/>
    <x v="0"/>
    <s v="Easy light requirements are a top priority for me, since I don't have a lot of sun exposure in my home."/>
    <x v="0"/>
    <s v="monthly"/>
    <s v="light requirements"/>
    <s v="hanging baskets"/>
  </r>
  <r>
    <s v="4kei43"/>
    <s v="Philodendron Vines"/>
    <x v="0"/>
    <x v="0"/>
    <s v="I want to make sure my plants won't harm my dog or any visiting children."/>
    <x v="2"/>
    <s v="monthly"/>
    <s v="pet-safe information"/>
    <s v="hanging baskets"/>
  </r>
  <r>
    <s v="8mqe29"/>
    <s v="Schefflera"/>
    <x v="0"/>
    <x v="0"/>
    <s v="I choose plants that are small enough to fit in my terrariums and planters."/>
    <x v="3"/>
    <s v="every few months"/>
    <s v="watering frequency &amp; amount"/>
    <s v="ceramic"/>
  </r>
  <r>
    <s v="1irs93"/>
    <s v="Hoya"/>
    <x v="0"/>
    <x v="0"/>
    <s v="I love my pets and want to make sure they're safe around my plants."/>
    <x v="2"/>
    <s v="weekly"/>
    <s v="pet-safe information"/>
    <s v="ceramic"/>
  </r>
  <r>
    <s v="0swv92"/>
    <s v="Hoya"/>
    <x v="0"/>
    <x v="0"/>
    <s v="I have a curious dog, so I need to be careful about what plants I bring home."/>
    <x v="2"/>
    <s v="rarely, only for special occasions"/>
    <s v="pet-safe information"/>
    <s v="metal"/>
  </r>
  <r>
    <s v="7rwg13"/>
    <s v="Chinese Evergreen"/>
    <x v="0"/>
    <x v="0"/>
    <s v="I prefer plants that are not commonly found in stores, and have unique features."/>
    <x v="4"/>
    <s v="monthly"/>
    <s v="watering frequency &amp; amount"/>
    <s v="terracotta"/>
  </r>
  <r>
    <s v="4bhq14"/>
    <s v="ZZ Plant"/>
    <x v="0"/>
    <x v="0"/>
    <s v="I always look for plants that are safe for pets and children before considering any other factors."/>
    <x v="2"/>
    <s v="every few months"/>
    <s v="soil type &amp; fertilization"/>
    <s v="plastic"/>
  </r>
  <r>
    <s v="3paf51"/>
    <s v="Prayer Plant"/>
    <x v="2"/>
    <x v="0"/>
    <s v="I want to enjoy having plants without the hassle of high maintenance requirements."/>
    <x v="0"/>
    <s v="weekly"/>
    <s v="pet-safe information"/>
    <s v="plastic"/>
  </r>
  <r>
    <s v="2gbs96"/>
    <s v="Hoya"/>
    <x v="0"/>
    <x v="0"/>
    <s v="I only buy plants that require low light, since I don't get much sun in my apartment."/>
    <x v="0"/>
    <s v="monthly"/>
    <s v="light requirements"/>
    <s v="ceramic"/>
  </r>
  <r>
    <s v="2pye95"/>
    <s v="Parlour Palm"/>
    <x v="0"/>
    <x v="0"/>
    <s v="I prefer plants that have a story behind them, like rare or unique species that were hard to find."/>
    <x v="4"/>
    <s v="every few months"/>
    <s v="watering frequency &amp; amount"/>
    <s v="ceramic"/>
  </r>
  <r>
    <s v="6vck21"/>
    <s v="ZZ Plant"/>
    <x v="0"/>
    <x v="0"/>
    <s v="I have a dog, so I always check if the plant is pet-friendly and has air-purifying qualities."/>
    <x v="1"/>
    <s v="every few months"/>
    <s v="propagation techniques"/>
    <s v="hanging baskets"/>
  </r>
  <r>
    <s v="5xnw05"/>
    <s v="Schefflera"/>
    <x v="0"/>
    <x v="0"/>
    <s v="I prefer plants that are small enough to fit on my desk or nightstand."/>
    <x v="3"/>
    <s v="every few months"/>
    <s v="pet-safe information"/>
    <s v="terracotta"/>
  </r>
  <r>
    <s v="5heo14"/>
    <s v="Chinese Evergreen"/>
    <x v="0"/>
    <x v="0"/>
    <s v="I don't want to take any risks, so I always err on the side of caution and choose non-toxic plants."/>
    <x v="2"/>
    <s v="rarely, only for special occasions"/>
    <s v="soil type &amp; fertilization"/>
    <s v="hanging baskets"/>
  </r>
  <r>
    <s v="9lgz50"/>
    <s v="Hoya"/>
    <x v="0"/>
    <x v="0"/>
    <s v="I have a baby who's just learning to crawl, so I need to be sure the plant won't harm her."/>
    <x v="2"/>
    <s v="rarely, only for special occasions"/>
    <s v="watering frequency &amp; amount"/>
    <s v="plastic"/>
  </r>
  <r>
    <s v="3egy42"/>
    <s v="Parlour Palm"/>
    <x v="0"/>
    <x v="0"/>
    <s v="I like to buy plants that are big and impressive, so they make a statement in my home."/>
    <x v="3"/>
    <s v="rarely, only for special occasions"/>
    <s v="watering frequency &amp; amount"/>
    <s v="hanging baskets"/>
  </r>
  <r>
    <s v="6ljd91"/>
    <s v="Staghorn Fern"/>
    <x v="1"/>
    <x v="0"/>
    <s v="I love adding unique plants to my collection and watching them thrive."/>
    <x v="4"/>
    <s v="monthly"/>
    <s v="light requirements"/>
    <s v="hanging baskets"/>
  </r>
  <r>
    <s v="5oqu18"/>
    <s v="Croton"/>
    <x v="2"/>
    <x v="0"/>
    <s v="I prefer plants that don't require a lot of upkeep."/>
    <x v="0"/>
    <s v="every few months"/>
    <s v="pet-safe information"/>
    <s v="terracotta"/>
  </r>
  <r>
    <s v="2ubi53"/>
    <s v="Cast-Iron Plant"/>
    <x v="0"/>
    <x v="0"/>
    <s v="I always check the watering requirements before buying a plant because I don't want to over or under-water it."/>
    <x v="0"/>
    <s v="monthly"/>
    <s v="watering frequency &amp; amount"/>
    <s v="ceramic"/>
  </r>
  <r>
    <s v="7ayi89"/>
    <s v="Chinese Evergreen"/>
    <x v="0"/>
    <x v="0"/>
    <s v="I like to propagate my plants, so I choose ones that are easy to propagate and share with friends."/>
    <x v="0"/>
    <s v="monthly"/>
    <s v="propagation techniques"/>
    <s v="plastic"/>
  </r>
  <r>
    <s v="7rzi23"/>
    <s v="Boston Fern"/>
    <x v="1"/>
    <x v="0"/>
    <s v="I want to be able to move my plants around easily, so I choose lightweight options."/>
    <x v="3"/>
    <s v="monthly"/>
    <s v="watering frequency &amp; amount"/>
    <s v="plastic"/>
  </r>
  <r>
    <s v="6jot49"/>
    <s v="Chinese Evergreen"/>
    <x v="0"/>
    <x v="0"/>
    <s v="I like to have plants that are the same size and shape, so they look uniform in my space."/>
    <x v="3"/>
    <s v="weekly"/>
    <s v="watering frequency &amp; amount"/>
    <s v="wall-mounted planters"/>
  </r>
  <r>
    <s v="9rdn59"/>
    <s v="Norfolk Island Pine"/>
    <x v="2"/>
    <x v="0"/>
    <s v="I want to make sure my plants are a safe addition to my home, especially with my pets and young child."/>
    <x v="2"/>
    <s v="rarely, only for special occasions"/>
    <s v="light requirements"/>
    <s v="terracotta"/>
  </r>
  <r>
    <s v="5pqk30"/>
    <s v="Fiddle Leaf Fig"/>
    <x v="1"/>
    <x v="0"/>
    <s v="I prefer plants that don't require direct sunlight, since I don't have many windows."/>
    <x v="0"/>
    <s v="every few months"/>
    <s v="light requirements"/>
    <s v="hanging baskets"/>
  </r>
  <r>
    <s v="4wxu90"/>
    <s v="Philodendron Vines"/>
    <x v="0"/>
    <x v="0"/>
    <s v="I like to have a lot of plants, so I choose small ones that I can fit on my shelves and tables."/>
    <x v="3"/>
    <s v="rarely, only for special occasions"/>
    <s v="propagation techniques"/>
    <s v="ceramic"/>
  </r>
  <r>
    <s v="5nyu13"/>
    <s v="Cast-Iron Plant"/>
    <x v="0"/>
    <x v="0"/>
    <s v="I'm always on the lookout for rare or unique plants to add to my collection."/>
    <x v="4"/>
    <s v="every few months"/>
    <s v="light requirements"/>
    <s v="hanging baskets"/>
  </r>
  <r>
    <s v="9ahd63"/>
    <s v="Cast-Iron Plant"/>
    <x v="0"/>
    <x v="0"/>
    <s v="I want to be able to enjoy plants without breaking the bank, so I choose affordable options."/>
    <x v="5"/>
    <s v="every few months"/>
    <s v="watering frequency &amp; amount"/>
    <s v="ceramic"/>
  </r>
  <r>
    <s v="3vsg91"/>
    <s v="Hoya"/>
    <x v="0"/>
    <x v="0"/>
    <s v="I love having plants around, but I don't want to spend a lot of time taking care of them."/>
    <x v="0"/>
    <s v="once a year"/>
    <s v="pet-safe information"/>
    <s v="ceramic"/>
  </r>
  <r>
    <s v="8hfm54"/>
    <s v="Philodendron Vines"/>
    <x v="0"/>
    <x v="0"/>
    <s v="I want to improve my vision, so I choose plants that are known for their eye health benefits, like carrots."/>
    <x v="1"/>
    <s v="rarely, only for special occasions"/>
    <s v="pet-safe information"/>
    <s v="terracotta"/>
  </r>
  <r>
    <s v="7vqo36"/>
    <s v="Parlour Palm"/>
    <x v="0"/>
    <x v="0"/>
    <s v="I'm not great at remembering to water plants, so low maintenance options are a must for me."/>
    <x v="0"/>
    <s v="every few months"/>
    <s v="light requirements"/>
    <s v="hanging baskets"/>
  </r>
  <r>
    <s v="4tdl72"/>
    <s v="Staghorn Fern"/>
    <x v="1"/>
    <x v="0"/>
    <s v="I only buy plants that I know are safe for my pets and children."/>
    <x v="2"/>
    <s v="once a year"/>
    <s v="pet-safe information"/>
    <s v="hanging baskets"/>
  </r>
  <r>
    <s v="4zoc52"/>
    <s v="Chinese Evergreen"/>
    <x v="0"/>
    <x v="0"/>
    <s v="I travel frequently, so I need plants that can survive with minimal care."/>
    <x v="0"/>
    <s v="every few months"/>
    <s v="light requirements"/>
    <s v="terracotta"/>
  </r>
  <r>
    <s v="8ybz01"/>
    <s v="Peperomia"/>
    <x v="0"/>
    <x v="0"/>
    <s v="I want each and every plant I buy to be a unique expression of my style."/>
    <x v="4"/>
    <s v="every few months"/>
    <s v="soil type &amp; fertilization"/>
    <s v="terracotta"/>
  </r>
  <r>
    <s v="9doa71"/>
    <s v="Schefflera"/>
    <x v="0"/>
    <x v="0"/>
    <s v="I have a cat who likes to nibble on plants, so I need to be sure they won't harm her."/>
    <x v="2"/>
    <s v="every few months"/>
    <s v="pet-safe information"/>
    <s v="hanging baskets"/>
  </r>
  <r>
    <s v="9mfe35"/>
    <s v="Peperomia"/>
    <x v="0"/>
    <x v="0"/>
    <s v="I want to make sure my plants are a safe addition to my home, especially with my young children."/>
    <x v="2"/>
    <s v="monthly"/>
    <s v="light requirements"/>
    <s v="hanging baskets"/>
  </r>
  <r>
    <s v="8ufi74"/>
    <s v="Rubber Plant"/>
    <x v="1"/>
    <x v="0"/>
    <s v="I always check the labels to see if the plant is safe for pets and children before buying it."/>
    <x v="2"/>
    <s v="rarely, only for special occasions"/>
    <s v="pet-safe information"/>
    <s v="ceramic"/>
  </r>
  <r>
    <s v="9zjt50"/>
    <s v="Peperomia"/>
    <x v="0"/>
    <x v="0"/>
    <s v="I have a dog who loves to chew on things, so I need to be sure the plant won't harm him."/>
    <x v="2"/>
    <s v="rarely, only for special occasions"/>
    <s v="soil type &amp; fertilization"/>
    <s v="hanging baskets"/>
  </r>
  <r>
    <s v="8rna32"/>
    <s v="Peperomia"/>
    <x v="0"/>
    <x v="0"/>
    <s v="I want to enjoy having plants in my home, but I don't want them to be too much work or pose a risk to my pets."/>
    <x v="0"/>
    <s v="rarely, only for special occasions"/>
    <s v="pet-safe information"/>
    <s v="terracotta"/>
  </r>
  <r>
    <s v="8csf73"/>
    <s v="Cast-Iron Plant"/>
    <x v="0"/>
    <x v="0"/>
    <s v="I love plants that have natural energy-boosting properties, like ginseng, to help me power through the day."/>
    <x v="1"/>
    <s v="every few months"/>
    <s v="watering frequency &amp; amount"/>
    <s v="terracotta"/>
  </r>
  <r>
    <s v="3rgl01"/>
    <s v="Schefflera"/>
    <x v="0"/>
    <x v="0"/>
    <s v="I want to make sure my plants are non-toxic for both my pets and children."/>
    <x v="2"/>
    <s v="every few months"/>
    <s v="light requirements"/>
    <s v="ceramic"/>
  </r>
  <r>
    <s v="8lgq98"/>
    <s v="Philodendron Vines"/>
    <x v="0"/>
    <x v="0"/>
    <s v="I want to incorporate plants into my decor, but I need options that are low maintenance and easy to care for."/>
    <x v="0"/>
    <s v="monthly"/>
    <s v="light requirements"/>
    <s v="ceramic"/>
  </r>
  <r>
    <s v="7jng79"/>
    <s v="Bird's Nest Fern"/>
    <x v="1"/>
    <x v="0"/>
    <s v="I have a toddler who likes to put things in her mouth, so I need to be sure the plant won't harm her."/>
    <x v="2"/>
    <s v="monthly"/>
    <s v="pet-safe information"/>
    <s v="terracotta"/>
  </r>
  <r>
    <s v="9bxk79"/>
    <s v="Schefflera"/>
    <x v="0"/>
    <x v="0"/>
    <s v="I love using plants in my home decor, so I choose ones that have unique and interesting shapes and textures."/>
    <x v="1"/>
    <s v="every few months"/>
    <s v="light requirements"/>
    <s v="plastic"/>
  </r>
  <r>
    <s v="0cef62"/>
    <s v="Peperomia"/>
    <x v="0"/>
    <x v="0"/>
    <s v="I prefer plants that are small and easy to move around, so I can change up my decor often."/>
    <x v="3"/>
    <s v="every few months"/>
    <s v="pet-safe information"/>
    <s v="terracotta"/>
  </r>
  <r>
    <s v="3xic78"/>
    <s v="Hoya"/>
    <x v="0"/>
    <x v="0"/>
    <s v="I don't have the space for a big garden, so I choose plants that can be grown in containers and don't require a lot of soil."/>
    <x v="0"/>
    <s v="every few months"/>
    <s v="soil type &amp; fertilization"/>
    <s v="terracotta"/>
  </r>
  <r>
    <s v="1pgo30"/>
    <s v="Cast-Iron Plant"/>
    <x v="0"/>
    <x v="0"/>
    <s v="I prefer plants that have natural anti-allergy properties, like nettle, to reduce my allergy symptoms."/>
    <x v="1"/>
    <s v="monthly"/>
    <s v="light requirements"/>
    <s v="ceramic"/>
  </r>
  <r>
    <s v="8aqo87"/>
    <s v="Cast-Iron Plant"/>
    <x v="0"/>
    <x v="0"/>
    <s v="I choose plants that have natural anti-cancer properties, like broccoli, for overall health benefits."/>
    <x v="1"/>
    <s v="rarely, only for special occasions"/>
    <s v="watering frequency &amp; amount"/>
    <s v="plastic"/>
  </r>
  <r>
    <s v="8jqu60"/>
    <s v="ZZ Plant"/>
    <x v="0"/>
    <x v="0"/>
    <s v="I love my pets and want to make sure they're safe around my plants, so I only buy pet-friendly options."/>
    <x v="2"/>
    <s v="monthly"/>
    <s v="light requirements"/>
    <s v="plastic"/>
  </r>
  <r>
    <s v="2nyj69"/>
    <s v="Schefflera"/>
    <x v="0"/>
    <x v="0"/>
    <s v="I always check to see if the plant is safe for my cat before buying it."/>
    <x v="2"/>
    <s v="monthly"/>
    <s v="watering frequency &amp; amount"/>
    <s v="terracotta"/>
  </r>
  <r>
    <s v="7crj71"/>
    <s v="Cast-Iron Plant"/>
    <x v="0"/>
    <x v="0"/>
    <s v="I choose plants that have natural anti-fungal properties, like tea tree oil, to keep my home and body healthy."/>
    <x v="1"/>
    <s v="monthly"/>
    <s v="light requirements"/>
    <s v="ceramic"/>
  </r>
  <r>
    <s v="0cjl69"/>
    <s v="ZZ Plant"/>
    <x v="0"/>
    <x v="0"/>
    <s v="I choose plants that have natural anti-inflammatory properties, like green tea, for overall health benefits."/>
    <x v="1"/>
    <s v="monthly"/>
    <s v="light requirements"/>
    <s v="terracotta"/>
  </r>
  <r>
    <s v="4tku58"/>
    <s v="Chinese Evergreen"/>
    <x v="0"/>
    <x v="0"/>
    <s v="I want to make sure my plants are a safe addition to my home, especially with my cat and young child."/>
    <x v="2"/>
    <s v="monthly"/>
    <s v="watering frequency &amp; amount"/>
    <s v="ceramic"/>
  </r>
  <r>
    <s v="6evw84"/>
    <s v="ZZ Plant"/>
    <x v="0"/>
    <x v="0"/>
    <s v="I choose plants that are small and easy to propagate, so I can have more of them throughout my home."/>
    <x v="3"/>
    <s v="every few months"/>
    <s v="watering frequency &amp; amount"/>
    <s v="terracotta"/>
  </r>
  <r>
    <s v="6tak43"/>
    <s v="Norfolk Island Pine"/>
    <x v="2"/>
    <x v="0"/>
    <s v="I want to improve my mental health, so I choose plants that are known to reduce anxiety and stress."/>
    <x v="1"/>
    <s v="every few months"/>
    <s v="watering frequency &amp; amount"/>
    <s v="terracotta"/>
  </r>
  <r>
    <s v="1hxu32"/>
    <s v="Parlour Palm"/>
    <x v="0"/>
    <x v="0"/>
    <s v="I only buy plants that won't pose a risk to my pets or children."/>
    <x v="2"/>
    <s v="rarely, only for special occasions"/>
    <s v="propagation techniques"/>
    <s v="ceramic"/>
  </r>
  <r>
    <s v="6ern84"/>
    <s v="Peperomia"/>
    <x v="0"/>
    <x v="0"/>
    <s v="I have a young child who loves to explore, so I need to be sure the plant won't harm her if she touches it."/>
    <x v="2"/>
    <s v="every few months"/>
    <s v="propagation techniques"/>
    <s v="ceramic"/>
  </r>
  <r>
    <s v="6yhj02"/>
    <s v="ZZ Plant"/>
    <x v="0"/>
    <x v="0"/>
    <s v="I'm always searching for rare plants to add to my indoor jungle."/>
    <x v="4"/>
    <s v="monthly"/>
    <s v="pet-safe information"/>
    <s v="terracotta"/>
  </r>
  <r>
    <s v="0iwx94"/>
    <s v="Hoya"/>
    <x v="0"/>
    <x v="0"/>
    <s v="I love to cook with fresh herbs, so I choose plants that are known for their culinary benefits."/>
    <x v="1"/>
    <s v="every few months"/>
    <s v="soil type &amp; fertilization"/>
    <s v="ceramic"/>
  </r>
  <r>
    <s v="7esk95"/>
    <s v="ZZ Plant"/>
    <x v="0"/>
    <x v="0"/>
    <s v="I want to improve my respiratory health, so I choose plants that are known for their respiratory benefits, like eucalyptus."/>
    <x v="1"/>
    <s v="once a year"/>
    <s v="pet-safe information"/>
    <s v="ceramic"/>
  </r>
  <r>
    <s v="8soq83"/>
    <s v="Chinese Evergreen"/>
    <x v="0"/>
    <x v="0"/>
    <s v="I want to make sure my plants are non-toxic for my pets and children, even if it means spending a bit more."/>
    <x v="2"/>
    <s v="rarely, only for special occasions"/>
    <s v="pet-safe information"/>
    <s v="plastic"/>
  </r>
  <r>
    <s v="5xoj50"/>
    <s v="Hoya"/>
    <x v="0"/>
    <x v="0"/>
    <s v="I always look for affordable plants that won't break the bank."/>
    <x v="5"/>
    <s v="monthly"/>
    <s v="pet-safe information"/>
    <s v="terracotta"/>
  </r>
  <r>
    <s v="8hxs71"/>
    <s v="Parlour Palm"/>
    <x v="0"/>
    <x v="0"/>
    <s v="I want plants that are easy to take care of, so I choose small ones that won't require a lot of space or attention."/>
    <x v="3"/>
    <s v="every few months"/>
    <s v="watering frequency &amp; amount"/>
    <s v="plastic"/>
  </r>
  <r>
    <s v="0ztb09"/>
    <s v="Staghorn Fern"/>
    <x v="1"/>
    <x v="0"/>
    <s v="Easy light requirements are a must for me, since I don't have a lot of natural light in my apartment."/>
    <x v="0"/>
    <s v="monthly"/>
    <s v="light requirements"/>
    <s v="hanging baskets"/>
  </r>
  <r>
    <s v="9zcy62"/>
    <s v="Chinese Evergreen"/>
    <x v="0"/>
    <x v="0"/>
    <s v="I prefer plants that have natural anti-depressant properties, like St. John's Wort, to improve my mood."/>
    <x v="1"/>
    <s v="monthly"/>
    <s v="propagation techniques"/>
    <s v="ceramic"/>
  </r>
  <r>
    <s v="3aeu18"/>
    <s v="Cordyline"/>
    <x v="1"/>
    <x v="0"/>
    <s v="I prefer plants that are affordable and won't require a lot of special knowledge or expertise to care for."/>
    <x v="5"/>
    <s v="monthly"/>
    <s v="watering frequency &amp; amount"/>
    <s v="plastic"/>
  </r>
  <r>
    <s v="2fxu15"/>
    <s v="Hoya"/>
    <x v="0"/>
    <x v="0"/>
    <s v="I always research the plant to make sure it's safe for my pets and children before buying it."/>
    <x v="2"/>
    <s v="monthly"/>
    <s v="watering frequency &amp; amount"/>
    <s v="terracotta"/>
  </r>
  <r>
    <s v="4blm50"/>
    <s v="Peperomia"/>
    <x v="0"/>
    <x v="0"/>
    <s v="I always look for rare or unique species that will make a statement in my home."/>
    <x v="4"/>
    <s v="every few months"/>
    <s v="soil type &amp; fertilization"/>
    <s v="ceramic"/>
  </r>
  <r>
    <s v="4syk05"/>
    <s v="Parlour Palm"/>
    <x v="0"/>
    <x v="0"/>
    <s v="I like to have a mix of small and large plants, so my home feels balanced."/>
    <x v="3"/>
    <s v="every few months"/>
    <s v="watering frequency &amp; amount"/>
    <s v="wall-mounted planters"/>
  </r>
  <r>
    <s v="8tjs06"/>
    <s v="Chinese Evergreen"/>
    <x v="0"/>
    <x v="0"/>
    <s v="I want my plants to be conversation starters, so I choose funky, rare plants."/>
    <x v="4"/>
    <s v="every few months"/>
    <s v="light requirements"/>
    <s v="hanging baskets"/>
  </r>
  <r>
    <s v="8jmy10"/>
    <s v="Rubber Plant"/>
    <x v="1"/>
    <x v="0"/>
    <s v="I like to have greenery in my home, but I don't want to spend a lot of time tending to them."/>
    <x v="0"/>
    <s v="every few months"/>
    <s v="pet-safe information"/>
    <s v="plastic"/>
  </r>
  <r>
    <s v="9nsl50"/>
    <s v="Peperomia"/>
    <x v="0"/>
    <x v="0"/>
    <s v="I love using plants in my hair care routine, so I choose ones that have natural beauty benefits, like aloe vera."/>
    <x v="1"/>
    <s v="every few months"/>
    <s v="propagation techniques"/>
    <s v="hanging baskets"/>
  </r>
  <r>
    <s v="9bkf02"/>
    <s v="Parlour Palm"/>
    <x v="0"/>
    <x v="0"/>
    <s v="I have a bird, so I need to be careful about the plants I bring into my home."/>
    <x v="2"/>
    <s v="monthly"/>
    <s v="pet-safe information"/>
    <s v="terracotta"/>
  </r>
  <r>
    <s v="8czm97"/>
    <s v="Begonia"/>
    <x v="1"/>
    <x v="0"/>
    <s v="I want to make sure my plants won't harm my pets or children, so I only choose non-toxic options."/>
    <x v="2"/>
    <s v="rarely, only for special occasions"/>
    <s v="soil type &amp; fertilization"/>
    <s v="hanging baskets"/>
  </r>
  <r>
    <s v="9tfz85"/>
    <s v="Hoya"/>
    <x v="0"/>
    <x v="0"/>
    <s v="I don't have a lot of time for plant care, so I always look for low-maintenance options."/>
    <x v="0"/>
    <s v="weekly"/>
    <s v="pet-safe information"/>
    <s v="ceramic"/>
  </r>
  <r>
    <s v="8lsi58"/>
    <s v="Phalaenopsis"/>
    <x v="1"/>
    <x v="0"/>
    <s v="I want to improve my sleep quality, so I choose plants that are known for their calming effects."/>
    <x v="1"/>
    <s v="monthly"/>
    <s v="pet-safe information"/>
    <s v="metal"/>
  </r>
  <r>
    <s v="4xlp73"/>
    <s v="Cast-Iron Plant"/>
    <x v="0"/>
    <x v="0"/>
    <s v="I love finding rare or unique plants at local nurseries and plant shops."/>
    <x v="4"/>
    <s v="rarely, only for special occasions"/>
    <s v="soil type &amp; fertilization"/>
    <s v="terracotta"/>
  </r>
  <r>
    <s v="2hbc76"/>
    <s v="Parlour Palm"/>
    <x v="0"/>
    <x v="0"/>
    <s v="I want to enjoy my plants without the stress of complex care requirements."/>
    <x v="0"/>
    <s v="every few months"/>
    <s v="pet-safe information"/>
    <s v="ceramic"/>
  </r>
  <r>
    <s v="3zhy98"/>
    <s v="Cast-Iron Plant"/>
    <x v="0"/>
    <x v="0"/>
    <s v="As a pet owner, I want to make sure my furry friend can coexist safely with my plants, so I always choose pet-friendly options."/>
    <x v="2"/>
    <s v="weekly"/>
    <s v="pet-safe information"/>
    <s v="plastic"/>
  </r>
  <r>
    <s v="4lqc31"/>
    <s v="Cast-Iron Plant"/>
    <x v="0"/>
    <x v="0"/>
    <s v="Since I don't have a lot of natural light, I always look for plants that can thrive in low light conditions."/>
    <x v="0"/>
    <s v="monthly"/>
    <s v="light requirements"/>
    <s v="hanging baskets"/>
  </r>
  <r>
    <s v="9dpm21"/>
    <s v="Schefflera"/>
    <x v="0"/>
    <x v="0"/>
    <s v="My toddler is always exploring, so I only buy plants that won't harm her if she touches them."/>
    <x v="2"/>
    <s v="weekly"/>
    <s v="pet-safe information"/>
    <s v="plastic"/>
  </r>
  <r>
    <s v="7jlq16"/>
    <s v="Cast-Iron Plant"/>
    <x v="0"/>
    <x v="0"/>
    <s v="I want to enjoy the benefits of plants without the hassle of high maintenance care."/>
    <x v="0"/>
    <s v="every few months"/>
    <s v="light requirements"/>
    <s v="plastic"/>
  </r>
  <r>
    <s v="5anx81"/>
    <s v="Prayer Plant"/>
    <x v="2"/>
    <x v="0"/>
    <s v="I choose plants that are tall and add height to my room."/>
    <x v="3"/>
    <s v="weekly"/>
    <s v="watering frequency &amp; amount"/>
    <s v="plastic"/>
  </r>
  <r>
    <s v="2qfj74"/>
    <s v="Parlour Palm"/>
    <x v="0"/>
    <x v="0"/>
    <s v="I don't want to take any chances, so I only buy plants that are safe for both my cat and my children."/>
    <x v="2"/>
    <s v="every few months"/>
    <s v="watering frequency &amp; amount"/>
    <s v="ceram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E9469-81A6-1244-9A77-FD5EB76AAFD8}" name="PivotTable40"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9">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safe-for-pet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71E148-3F8B-484F-85E0-792668EC331B}" name="PivotTable38"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maintenanc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9817A-ED1A-4345-852A-322673FAE9EC}" name="PivotTable4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4" firstHeaderRow="1" firstDataRow="1" firstDataCol="1"/>
  <pivotFields count="9">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maintenance" fld="2"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FEAFD6-B924-C94D-BAD0-DE85B69D744F}" name="PivotTable42"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G42" firstHeaderRow="1" firstDataRow="1" firstDataCol="1"/>
  <pivotFields count="9">
    <pivotField showAll="0"/>
    <pivotField showAll="0"/>
    <pivotField showAll="0"/>
    <pivotField showAll="0"/>
    <pivotField showAll="0"/>
    <pivotField axis="axisRow" dataField="1" showAll="0">
      <items count="8">
        <item m="1" x="6"/>
        <item x="0"/>
        <item x="1"/>
        <item x="2"/>
        <item x="3"/>
        <item x="4"/>
        <item x="5"/>
        <item t="default"/>
      </items>
    </pivotField>
    <pivotField showAll="0"/>
    <pivotField showAll="0"/>
    <pivotField showAll="0"/>
  </pivotFields>
  <rowFields count="1">
    <field x="5"/>
  </rowFields>
  <rowItems count="7">
    <i>
      <x v="1"/>
    </i>
    <i>
      <x v="2"/>
    </i>
    <i>
      <x v="3"/>
    </i>
    <i>
      <x v="4"/>
    </i>
    <i>
      <x v="5"/>
    </i>
    <i>
      <x v="6"/>
    </i>
    <i t="grand">
      <x/>
    </i>
  </rowItems>
  <colItems count="1">
    <i/>
  </colItems>
  <dataFields count="1">
    <dataField name="Count of reason_for_purchase" fld="5"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E65DD-0966-6647-8D38-B091EC02D823}" name="PivotTable41"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29" firstHeaderRow="1" firstDataRow="1" firstDataCol="1"/>
  <pivotFields count="9">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safe-for-pets" fld="3"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ses" displayName="responses" ref="K1:S218" totalsRowShown="0" headerRowCellStyle="Normal" dataCellStyle="Normal">
  <autoFilter ref="K1:S218" xr:uid="{00000000-0009-0000-0100-000001000000}"/>
  <tableColumns count="9">
    <tableColumn id="1" xr3:uid="{00000000-0010-0000-0000-000001000000}" name="survey_id" dataCellStyle="Normal"/>
    <tableColumn id="9" xr3:uid="{00000000-0010-0000-0000-000009000000}" name="plant_types"/>
    <tableColumn id="7" xr3:uid="{00000000-0010-0000-0000-000007000000}" name="maintenance" dataDxfId="2" dataCellStyle="Normal">
      <calculatedColumnFormula>_xlfn.XLOOKUP(responses[[#This Row],[plant_types]],plant_info[plant],plant_info[maintenance-requirements])</calculatedColumnFormula>
    </tableColumn>
    <tableColumn id="8" xr3:uid="{00000000-0010-0000-0000-000008000000}" name="safe-for-pets" dataDxfId="1" dataCellStyle="Normal">
      <calculatedColumnFormula>_xlfn.XLOOKUP(responses[[#This Row],[plant_types]],plant_info[plant],plant_info[toxic])</calculatedColumnFormula>
    </tableColumn>
    <tableColumn id="2" xr3:uid="{00000000-0010-0000-0000-000002000000}" name="reason_for_purchase_free_response" dataCellStyle="Normal"/>
    <tableColumn id="3" xr3:uid="{00000000-0010-0000-0000-000003000000}" name="reason_for_purchase" dataDxfId="0" dataCellStyle="Normal">
      <calculatedColumnFormula>_xlfn.XLOOKUP(responses[[#This Row],[reason_for_purchase_free_response]],reason[reason_for_purchase_free_response],reason[reason_for_purchase])</calculatedColumnFormula>
    </tableColumn>
    <tableColumn id="4" xr3:uid="{00000000-0010-0000-0000-000004000000}" name="freq" dataCellStyle="Normal"/>
    <tableColumn id="5" xr3:uid="{00000000-0010-0000-0000-000005000000}" name="care_info" dataCellStyle="Normal"/>
    <tableColumn id="6" xr3:uid="{00000000-0010-0000-0000-000006000000}" name="pots"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_info" displayName="plant_info" ref="A1:E47" totalsRowShown="0" headerRowCellStyle="Normal" dataCellStyle="Normal">
  <autoFilter ref="A1:E47" xr:uid="{00000000-0009-0000-0100-000002000000}"/>
  <tableColumns count="5">
    <tableColumn id="1" xr3:uid="{00000000-0010-0000-0100-000001000000}" name="plant" dataCellStyle="Normal"/>
    <tableColumn id="2" xr3:uid="{00000000-0010-0000-0100-000002000000}" name="light-requirements" dataCellStyle="Normal"/>
    <tableColumn id="3" xr3:uid="{00000000-0010-0000-0100-000003000000}" name="water-requirements" dataCellStyle="Normal"/>
    <tableColumn id="5" xr3:uid="{00000000-0010-0000-0100-000005000000}" name="maintenance-requirements" dataCellStyle="Normal"/>
    <tableColumn id="4" xr3:uid="{00000000-0010-0000-0100-000004000000}" name="toxic" dataCellStyle="Norma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reason" displayName="reason" ref="A1:C219" totalsRowShown="0" headerRowCellStyle="Normal" dataCellStyle="Normal">
  <autoFilter ref="A1:C219" xr:uid="{00000000-0009-0000-0100-000006000000}"/>
  <tableColumns count="3">
    <tableColumn id="1" xr3:uid="{00000000-0010-0000-0200-000001000000}" name="survey_id" dataCellStyle="Normal"/>
    <tableColumn id="2" xr3:uid="{00000000-0010-0000-0200-000002000000}" name="reason_for_purchase_free_response" dataCellStyle="Normal"/>
    <tableColumn id="3" xr3:uid="{00000000-0010-0000-0200-000003000000}" name="reason_for_purchase" dataCellStyle="Normal"/>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3"/>
  <sheetViews>
    <sheetView workbookViewId="0">
      <selection activeCell="B12" sqref="B12:D14"/>
    </sheetView>
  </sheetViews>
  <sheetFormatPr baseColWidth="10" defaultColWidth="10.6640625" defaultRowHeight="16"/>
  <cols>
    <col min="1" max="1" width="32.83203125" customWidth="1"/>
    <col min="2" max="2" width="69.5" customWidth="1"/>
    <col min="3" max="3" width="17.33203125" customWidth="1"/>
  </cols>
  <sheetData>
    <row r="1" spans="1:4" ht="17" thickBot="1">
      <c r="A1" s="24" t="s">
        <v>551</v>
      </c>
      <c r="B1" s="25"/>
      <c r="C1" s="25"/>
      <c r="D1" s="25"/>
    </row>
    <row r="2" spans="1:4" ht="17" thickBot="1">
      <c r="A2" s="25"/>
      <c r="B2" s="25"/>
      <c r="C2" s="25"/>
      <c r="D2" s="25"/>
    </row>
    <row r="3" spans="1:4" ht="17" thickBot="1">
      <c r="A3" s="25"/>
      <c r="B3" s="25"/>
      <c r="C3" s="25"/>
      <c r="D3" s="25"/>
    </row>
    <row r="4" spans="1:4" ht="24">
      <c r="A4" s="14" t="s">
        <v>552</v>
      </c>
      <c r="B4" s="14"/>
      <c r="C4" s="14"/>
      <c r="D4" s="14"/>
    </row>
    <row r="5" spans="1:4">
      <c r="A5" s="6" t="s">
        <v>558</v>
      </c>
      <c r="B5" s="15" t="s">
        <v>559</v>
      </c>
      <c r="C5" s="15"/>
      <c r="D5" s="15"/>
    </row>
    <row r="6" spans="1:4" ht="17" customHeight="1">
      <c r="A6" s="7" t="s">
        <v>307</v>
      </c>
      <c r="B6" s="21" t="s">
        <v>554</v>
      </c>
      <c r="C6" s="21"/>
      <c r="D6" s="21"/>
    </row>
    <row r="7" spans="1:4" ht="23" customHeight="1">
      <c r="A7" s="8" t="s">
        <v>0</v>
      </c>
      <c r="B7" s="23" t="s">
        <v>568</v>
      </c>
      <c r="C7" s="23"/>
      <c r="D7" s="23"/>
    </row>
    <row r="8" spans="1:4" ht="23" customHeight="1">
      <c r="A8" s="17" t="s">
        <v>272</v>
      </c>
      <c r="B8" s="16" t="s">
        <v>553</v>
      </c>
      <c r="C8" s="16"/>
      <c r="D8" s="16"/>
    </row>
    <row r="9" spans="1:4">
      <c r="A9" s="17"/>
      <c r="B9" s="16"/>
      <c r="C9" s="16"/>
      <c r="D9" s="16"/>
    </row>
    <row r="10" spans="1:4" ht="17" customHeight="1">
      <c r="A10" s="22" t="s">
        <v>2</v>
      </c>
      <c r="B10" s="23" t="s">
        <v>555</v>
      </c>
      <c r="C10" s="23"/>
      <c r="D10" s="23"/>
    </row>
    <row r="11" spans="1:4">
      <c r="A11" s="22"/>
      <c r="B11" s="23"/>
      <c r="C11" s="23"/>
      <c r="D11" s="23"/>
    </row>
    <row r="12" spans="1:4" ht="16" customHeight="1">
      <c r="A12" s="17" t="s">
        <v>3</v>
      </c>
      <c r="B12" s="16" t="s">
        <v>556</v>
      </c>
      <c r="C12" s="16"/>
      <c r="D12" s="16"/>
    </row>
    <row r="13" spans="1:4">
      <c r="A13" s="17"/>
      <c r="B13" s="16"/>
      <c r="C13" s="16"/>
      <c r="D13" s="16"/>
    </row>
    <row r="14" spans="1:4">
      <c r="A14" s="17"/>
      <c r="B14" s="16"/>
      <c r="C14" s="16"/>
      <c r="D14" s="16"/>
    </row>
    <row r="15" spans="1:4" ht="17" customHeight="1">
      <c r="A15" s="22" t="s">
        <v>4</v>
      </c>
      <c r="B15" s="23" t="s">
        <v>557</v>
      </c>
      <c r="C15" s="23"/>
      <c r="D15" s="23"/>
    </row>
    <row r="16" spans="1:4">
      <c r="A16" s="22"/>
      <c r="B16" s="23"/>
      <c r="C16" s="23"/>
      <c r="D16" s="23"/>
    </row>
    <row r="17" spans="1:4" ht="17" thickBot="1"/>
    <row r="18" spans="1:4" ht="24">
      <c r="A18" s="14" t="s">
        <v>566</v>
      </c>
      <c r="B18" s="14"/>
      <c r="C18" s="14"/>
      <c r="D18" s="14"/>
    </row>
    <row r="19" spans="1:4">
      <c r="A19" s="6" t="s">
        <v>558</v>
      </c>
      <c r="B19" s="15" t="s">
        <v>559</v>
      </c>
      <c r="C19" s="15"/>
      <c r="D19" s="15"/>
    </row>
    <row r="20" spans="1:4">
      <c r="A20" s="9" t="s">
        <v>304</v>
      </c>
      <c r="B20" s="20" t="s">
        <v>561</v>
      </c>
      <c r="C20" s="20"/>
      <c r="D20" s="20"/>
    </row>
    <row r="21" spans="1:4">
      <c r="A21" s="10" t="s">
        <v>274</v>
      </c>
      <c r="B21" s="18" t="s">
        <v>562</v>
      </c>
      <c r="C21" s="18"/>
      <c r="D21" s="18"/>
    </row>
    <row r="22" spans="1:4">
      <c r="A22" s="9" t="s">
        <v>275</v>
      </c>
      <c r="B22" s="20" t="s">
        <v>563</v>
      </c>
      <c r="C22" s="20"/>
      <c r="D22" s="20"/>
    </row>
    <row r="23" spans="1:4" ht="17" customHeight="1">
      <c r="A23" s="18" t="s">
        <v>277</v>
      </c>
      <c r="B23" s="19" t="s">
        <v>564</v>
      </c>
      <c r="C23" s="19"/>
      <c r="D23" s="19"/>
    </row>
    <row r="24" spans="1:4">
      <c r="A24" s="18"/>
      <c r="B24" s="19"/>
      <c r="C24" s="19"/>
      <c r="D24" s="19"/>
    </row>
    <row r="25" spans="1:4">
      <c r="A25" s="9" t="s">
        <v>276</v>
      </c>
      <c r="B25" s="20" t="s">
        <v>565</v>
      </c>
      <c r="C25" s="20"/>
      <c r="D25" s="20"/>
    </row>
    <row r="26" spans="1:4" ht="17" thickBot="1"/>
    <row r="27" spans="1:4" ht="24">
      <c r="A27" s="14" t="s">
        <v>567</v>
      </c>
      <c r="B27" s="14"/>
      <c r="C27" s="14"/>
      <c r="D27" s="14"/>
    </row>
    <row r="28" spans="1:4">
      <c r="A28" s="6" t="s">
        <v>558</v>
      </c>
      <c r="B28" s="15" t="s">
        <v>559</v>
      </c>
      <c r="C28" s="15"/>
      <c r="D28" s="15"/>
    </row>
    <row r="29" spans="1:4">
      <c r="A29" s="7" t="s">
        <v>307</v>
      </c>
      <c r="B29" s="21" t="s">
        <v>554</v>
      </c>
      <c r="C29" s="21"/>
      <c r="D29" s="21"/>
    </row>
    <row r="30" spans="1:4">
      <c r="A30" s="22" t="s">
        <v>272</v>
      </c>
      <c r="B30" s="23" t="s">
        <v>553</v>
      </c>
      <c r="C30" s="23"/>
      <c r="D30" s="23"/>
    </row>
    <row r="31" spans="1:4">
      <c r="A31" s="22"/>
      <c r="B31" s="23"/>
      <c r="C31" s="23"/>
      <c r="D31" s="23"/>
    </row>
    <row r="32" spans="1:4">
      <c r="A32" s="17" t="s">
        <v>1</v>
      </c>
      <c r="B32" s="16" t="s">
        <v>560</v>
      </c>
      <c r="C32" s="16"/>
      <c r="D32" s="16"/>
    </row>
    <row r="33" spans="1:4">
      <c r="A33" s="17"/>
      <c r="B33" s="16"/>
      <c r="C33" s="16"/>
      <c r="D33" s="16"/>
    </row>
  </sheetData>
  <mergeCells count="28">
    <mergeCell ref="A1:D3"/>
    <mergeCell ref="B7:D7"/>
    <mergeCell ref="B8:D9"/>
    <mergeCell ref="B10:D11"/>
    <mergeCell ref="B5:D5"/>
    <mergeCell ref="B6:D6"/>
    <mergeCell ref="A4:D4"/>
    <mergeCell ref="B15:D16"/>
    <mergeCell ref="A15:A16"/>
    <mergeCell ref="A12:A14"/>
    <mergeCell ref="A10:A11"/>
    <mergeCell ref="A8:A9"/>
    <mergeCell ref="B12:D14"/>
    <mergeCell ref="A18:D18"/>
    <mergeCell ref="B19:D19"/>
    <mergeCell ref="B32:D33"/>
    <mergeCell ref="A32:A33"/>
    <mergeCell ref="A23:A24"/>
    <mergeCell ref="B23:D24"/>
    <mergeCell ref="B20:D20"/>
    <mergeCell ref="B21:D21"/>
    <mergeCell ref="B22:D22"/>
    <mergeCell ref="B25:D25"/>
    <mergeCell ref="A27:D27"/>
    <mergeCell ref="B28:D28"/>
    <mergeCell ref="B29:D29"/>
    <mergeCell ref="A30:A31"/>
    <mergeCell ref="B30:D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ED8D-F24A-0842-A4A2-1C188F10573F}">
  <dimension ref="A3:E7"/>
  <sheetViews>
    <sheetView workbookViewId="0">
      <selection activeCell="A3" sqref="A3:B7"/>
    </sheetView>
  </sheetViews>
  <sheetFormatPr baseColWidth="10" defaultRowHeight="16"/>
  <cols>
    <col min="1" max="1" width="16.33203125" bestFit="1" customWidth="1"/>
    <col min="2" max="2" width="19.33203125" bestFit="1" customWidth="1"/>
    <col min="4" max="4" width="20.5" bestFit="1" customWidth="1"/>
    <col min="5" max="5" width="19.33203125" bestFit="1" customWidth="1"/>
  </cols>
  <sheetData>
    <row r="3" spans="1:5">
      <c r="A3" s="46" t="s">
        <v>588</v>
      </c>
      <c r="B3" t="s">
        <v>590</v>
      </c>
      <c r="D3" s="46" t="s">
        <v>588</v>
      </c>
      <c r="E3" t="s">
        <v>591</v>
      </c>
    </row>
    <row r="4" spans="1:5">
      <c r="A4" s="47" t="s">
        <v>282</v>
      </c>
      <c r="B4" s="48">
        <v>11</v>
      </c>
      <c r="D4" s="47" t="s">
        <v>281</v>
      </c>
      <c r="E4" s="48">
        <v>216</v>
      </c>
    </row>
    <row r="5" spans="1:5">
      <c r="A5" s="47" t="s">
        <v>285</v>
      </c>
      <c r="B5" s="48">
        <v>172</v>
      </c>
      <c r="D5" s="47" t="s">
        <v>276</v>
      </c>
      <c r="E5" s="48">
        <v>1</v>
      </c>
    </row>
    <row r="6" spans="1:5">
      <c r="A6" s="47" t="s">
        <v>286</v>
      </c>
      <c r="B6" s="48">
        <v>34</v>
      </c>
      <c r="D6" s="47" t="s">
        <v>589</v>
      </c>
      <c r="E6" s="48">
        <v>217</v>
      </c>
    </row>
    <row r="7" spans="1:5">
      <c r="A7" s="47" t="s">
        <v>589</v>
      </c>
      <c r="B7" s="48">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18"/>
  <sheetViews>
    <sheetView tabSelected="1" zoomScale="90" workbookViewId="0">
      <selection activeCell="B50" sqref="B50:D55"/>
    </sheetView>
  </sheetViews>
  <sheetFormatPr baseColWidth="10" defaultColWidth="10.6640625" defaultRowHeight="16"/>
  <cols>
    <col min="2" max="2" width="69.5" customWidth="1"/>
    <col min="3" max="3" width="17.33203125" customWidth="1"/>
    <col min="4" max="4" width="25.83203125" customWidth="1"/>
    <col min="5" max="5" width="6" customWidth="1"/>
    <col min="6" max="6" width="16.5" bestFit="1" customWidth="1"/>
    <col min="7" max="7" width="20.33203125" bestFit="1" customWidth="1"/>
    <col min="8" max="8" width="27.1640625" bestFit="1" customWidth="1"/>
    <col min="9" max="9" width="10.83203125" customWidth="1"/>
    <col min="10" max="10" width="5.83203125" customWidth="1"/>
    <col min="11" max="11" width="11.6640625" bestFit="1" customWidth="1"/>
    <col min="12" max="12" width="20" customWidth="1"/>
    <col min="13" max="13" width="18.5" bestFit="1" customWidth="1"/>
    <col min="14" max="14" width="20.5" bestFit="1" customWidth="1"/>
    <col min="15" max="15" width="115.83203125" customWidth="1"/>
    <col min="16" max="16" width="66.6640625" customWidth="1"/>
    <col min="17" max="17" width="28" bestFit="1" customWidth="1"/>
    <col min="18" max="18" width="26" bestFit="1" customWidth="1"/>
    <col min="19" max="19" width="20" bestFit="1" customWidth="1"/>
  </cols>
  <sheetData>
    <row r="1" spans="1:19" ht="16" customHeight="1" thickBot="1">
      <c r="A1" s="25" t="s">
        <v>569</v>
      </c>
      <c r="B1" s="25"/>
      <c r="C1" s="25"/>
      <c r="D1" s="25"/>
      <c r="K1" t="s">
        <v>307</v>
      </c>
      <c r="L1" t="s">
        <v>0</v>
      </c>
      <c r="M1" s="1" t="s">
        <v>305</v>
      </c>
      <c r="N1" s="1" t="s">
        <v>306</v>
      </c>
      <c r="O1" t="s">
        <v>272</v>
      </c>
      <c r="P1" s="1" t="s">
        <v>1</v>
      </c>
      <c r="Q1" t="s">
        <v>2</v>
      </c>
      <c r="R1" t="s">
        <v>3</v>
      </c>
      <c r="S1" t="s">
        <v>4</v>
      </c>
    </row>
    <row r="2" spans="1:19" ht="16" customHeight="1" thickBot="1">
      <c r="A2" s="25"/>
      <c r="B2" s="25"/>
      <c r="C2" s="25"/>
      <c r="D2" s="25"/>
      <c r="K2" t="s">
        <v>308</v>
      </c>
      <c r="L2" t="s">
        <v>10</v>
      </c>
      <c r="M2" t="str">
        <f>_xlfn.XLOOKUP(responses[[#This Row],[plant_types]],plant_info[plant],plant_info[maintenance-requirements])</f>
        <v>low-maintenance</v>
      </c>
      <c r="N2" t="str">
        <f>_xlfn.XLOOKUP(responses[[#This Row],[plant_types]],plant_info[plant],plant_info[toxic])</f>
        <v>safe for pets &amp; children</v>
      </c>
      <c r="O2" t="s">
        <v>9</v>
      </c>
      <c r="P2" t="str">
        <f>_xlfn.XLOOKUP(responses[[#This Row],[reason_for_purchase_free_response]],reason[reason_for_purchase_free_response],reason[reason_for_purchase])</f>
        <v>care requirements</v>
      </c>
      <c r="Q2" t="s">
        <v>6</v>
      </c>
      <c r="R2" t="s">
        <v>7</v>
      </c>
      <c r="S2" t="s">
        <v>8</v>
      </c>
    </row>
    <row r="3" spans="1:19" ht="16" customHeight="1" thickBot="1">
      <c r="A3" s="25"/>
      <c r="B3" s="25"/>
      <c r="C3" s="25"/>
      <c r="D3" s="25"/>
      <c r="K3" t="s">
        <v>309</v>
      </c>
      <c r="L3" t="s">
        <v>15</v>
      </c>
      <c r="M3" t="str">
        <f>_xlfn.XLOOKUP(responses[[#This Row],[plant_types]],plant_info[plant],plant_info[maintenance-requirements])</f>
        <v>low-maintenance</v>
      </c>
      <c r="N3" t="str">
        <f>_xlfn.XLOOKUP(responses[[#This Row],[plant_types]],plant_info[plant],plant_info[toxic])</f>
        <v>safe for pets &amp; children</v>
      </c>
      <c r="O3" t="s">
        <v>14</v>
      </c>
      <c r="P3" t="str">
        <f>_xlfn.XLOOKUP(responses[[#This Row],[reason_for_purchase_free_response]],reason[reason_for_purchase_free_response],reason[reason_for_purchase])</f>
        <v>benefits</v>
      </c>
      <c r="Q3" t="s">
        <v>12</v>
      </c>
      <c r="R3" t="s">
        <v>7</v>
      </c>
      <c r="S3" t="s">
        <v>13</v>
      </c>
    </row>
    <row r="4" spans="1:19" ht="16" customHeight="1" thickBot="1">
      <c r="A4" s="27" t="s">
        <v>570</v>
      </c>
      <c r="B4" s="27"/>
      <c r="C4" s="27"/>
      <c r="D4" s="27"/>
      <c r="K4" t="s">
        <v>310</v>
      </c>
      <c r="L4" t="s">
        <v>20</v>
      </c>
      <c r="M4" t="str">
        <f>_xlfn.XLOOKUP(responses[[#This Row],[plant_types]],plant_info[plant],plant_info[maintenance-requirements])</f>
        <v>low-maintenance</v>
      </c>
      <c r="N4" t="str">
        <f>_xlfn.XLOOKUP(responses[[#This Row],[plant_types]],plant_info[plant],plant_info[toxic])</f>
        <v>safe for pets &amp; children</v>
      </c>
      <c r="O4" t="s">
        <v>19</v>
      </c>
      <c r="P4" t="str">
        <f>_xlfn.XLOOKUP(responses[[#This Row],[reason_for_purchase_free_response]],reason[reason_for_purchase_free_response],reason[reason_for_purchase])</f>
        <v>pet-friendly or safe for children</v>
      </c>
      <c r="Q4" t="s">
        <v>17</v>
      </c>
      <c r="R4" t="s">
        <v>18</v>
      </c>
      <c r="S4" t="s">
        <v>8</v>
      </c>
    </row>
    <row r="5" spans="1:19" ht="16" customHeight="1" thickBot="1">
      <c r="A5" s="27"/>
      <c r="B5" s="27"/>
      <c r="C5" s="27"/>
      <c r="D5" s="27"/>
      <c r="K5" t="s">
        <v>311</v>
      </c>
      <c r="L5" t="s">
        <v>23</v>
      </c>
      <c r="M5" t="str">
        <f>_xlfn.XLOOKUP(responses[[#This Row],[plant_types]],plant_info[plant],plant_info[maintenance-requirements])</f>
        <v>med-maintenance</v>
      </c>
      <c r="N5" t="str">
        <f>_xlfn.XLOOKUP(responses[[#This Row],[plant_types]],plant_info[plant],plant_info[toxic])</f>
        <v>safe for pets &amp; children</v>
      </c>
      <c r="O5" t="s">
        <v>22</v>
      </c>
      <c r="P5" t="str">
        <f>_xlfn.XLOOKUP(responses[[#This Row],[reason_for_purchase_free_response]],reason[reason_for_purchase_free_response],reason[reason_for_purchase])</f>
        <v>care requirements</v>
      </c>
      <c r="Q5" t="s">
        <v>6</v>
      </c>
      <c r="R5" t="s">
        <v>7</v>
      </c>
      <c r="S5" t="s">
        <v>21</v>
      </c>
    </row>
    <row r="6" spans="1:19" ht="16" customHeight="1" thickBot="1">
      <c r="A6" s="3" t="s">
        <v>545</v>
      </c>
      <c r="B6" s="28" t="s">
        <v>543</v>
      </c>
      <c r="C6" s="28"/>
      <c r="D6" s="28"/>
      <c r="K6" t="s">
        <v>312</v>
      </c>
      <c r="L6" t="s">
        <v>27</v>
      </c>
      <c r="M6" t="str">
        <f>_xlfn.XLOOKUP(responses[[#This Row],[plant_types]],plant_info[plant],plant_info[maintenance-requirements])</f>
        <v>med-maintenance</v>
      </c>
      <c r="N6" t="str">
        <f>_xlfn.XLOOKUP(responses[[#This Row],[plant_types]],plant_info[plant],plant_info[toxic])</f>
        <v>safe for pets &amp; children</v>
      </c>
      <c r="O6" t="s">
        <v>26</v>
      </c>
      <c r="P6" t="str">
        <f>_xlfn.XLOOKUP(responses[[#This Row],[reason_for_purchase_free_response]],reason[reason_for_purchase_free_response],reason[reason_for_purchase])</f>
        <v>benefits</v>
      </c>
      <c r="Q6" t="s">
        <v>17</v>
      </c>
      <c r="R6" t="s">
        <v>24</v>
      </c>
      <c r="S6" t="s">
        <v>25</v>
      </c>
    </row>
    <row r="7" spans="1:19" ht="17" thickBot="1">
      <c r="A7" s="3" t="s">
        <v>546</v>
      </c>
      <c r="B7" s="28" t="s">
        <v>544</v>
      </c>
      <c r="C7" s="28"/>
      <c r="D7" s="28"/>
      <c r="K7" t="s">
        <v>313</v>
      </c>
      <c r="L7" t="s">
        <v>30</v>
      </c>
      <c r="M7" t="str">
        <f>_xlfn.XLOOKUP(responses[[#This Row],[plant_types]],plant_info[plant],plant_info[maintenance-requirements])</f>
        <v>low-maintenance</v>
      </c>
      <c r="N7" t="str">
        <f>_xlfn.XLOOKUP(responses[[#This Row],[plant_types]],plant_info[plant],plant_info[toxic])</f>
        <v>safe for pets &amp; children</v>
      </c>
      <c r="O7" t="s">
        <v>29</v>
      </c>
      <c r="P7" t="str">
        <f>_xlfn.XLOOKUP(responses[[#This Row],[reason_for_purchase_free_response]],reason[reason_for_purchase_free_response],reason[reason_for_purchase])</f>
        <v>care requirements</v>
      </c>
      <c r="Q7" t="s">
        <v>28</v>
      </c>
      <c r="R7" t="s">
        <v>7</v>
      </c>
      <c r="S7" t="s">
        <v>8</v>
      </c>
    </row>
    <row r="8" spans="1:19" ht="17" thickBot="1">
      <c r="A8" s="3" t="s">
        <v>547</v>
      </c>
      <c r="B8" s="28" t="s">
        <v>576</v>
      </c>
      <c r="C8" s="28"/>
      <c r="D8" s="28"/>
      <c r="K8" t="s">
        <v>314</v>
      </c>
      <c r="L8" t="s">
        <v>33</v>
      </c>
      <c r="M8" t="str">
        <f>_xlfn.XLOOKUP(responses[[#This Row],[plant_types]],plant_info[plant],plant_info[maintenance-requirements])</f>
        <v>med-maintenance</v>
      </c>
      <c r="N8" t="str">
        <f>_xlfn.XLOOKUP(responses[[#This Row],[plant_types]],plant_info[plant],plant_info[toxic])</f>
        <v>safe for pets &amp; children</v>
      </c>
      <c r="O8" t="s">
        <v>32</v>
      </c>
      <c r="P8" t="str">
        <f>_xlfn.XLOOKUP(responses[[#This Row],[reason_for_purchase_free_response]],reason[reason_for_purchase_free_response],reason[reason_for_purchase])</f>
        <v>care requirements</v>
      </c>
      <c r="Q8" t="s">
        <v>12</v>
      </c>
      <c r="R8" t="s">
        <v>31</v>
      </c>
      <c r="S8" t="s">
        <v>13</v>
      </c>
    </row>
    <row r="9" spans="1:19" ht="20" thickBot="1">
      <c r="A9" s="32" t="s">
        <v>526</v>
      </c>
      <c r="B9" s="32"/>
      <c r="C9" s="32"/>
      <c r="D9" s="32"/>
      <c r="K9" t="s">
        <v>315</v>
      </c>
      <c r="L9" t="s">
        <v>10</v>
      </c>
      <c r="M9" t="str">
        <f>_xlfn.XLOOKUP(responses[[#This Row],[plant_types]],plant_info[plant],plant_info[maintenance-requirements])</f>
        <v>low-maintenance</v>
      </c>
      <c r="N9" t="str">
        <f>_xlfn.XLOOKUP(responses[[#This Row],[plant_types]],plant_info[plant],plant_info[toxic])</f>
        <v>safe for pets &amp; children</v>
      </c>
      <c r="O9" t="s">
        <v>36</v>
      </c>
      <c r="P9" t="str">
        <f>_xlfn.XLOOKUP(responses[[#This Row],[reason_for_purchase_free_response]],reason[reason_for_purchase_free_response],reason[reason_for_purchase])</f>
        <v>size</v>
      </c>
      <c r="Q9" t="s">
        <v>28</v>
      </c>
      <c r="R9" t="s">
        <v>24</v>
      </c>
      <c r="S9" t="s">
        <v>35</v>
      </c>
    </row>
    <row r="10" spans="1:19" ht="17" thickBot="1">
      <c r="A10" s="31" t="s">
        <v>571</v>
      </c>
      <c r="B10" s="31"/>
      <c r="C10" s="31"/>
      <c r="D10" s="31"/>
      <c r="K10" t="s">
        <v>316</v>
      </c>
      <c r="L10" t="s">
        <v>10</v>
      </c>
      <c r="M10" t="str">
        <f>_xlfn.XLOOKUP(responses[[#This Row],[plant_types]],plant_info[plant],plant_info[maintenance-requirements])</f>
        <v>low-maintenance</v>
      </c>
      <c r="N10" t="str">
        <f>_xlfn.XLOOKUP(responses[[#This Row],[plant_types]],plant_info[plant],plant_info[toxic])</f>
        <v>safe for pets &amp; children</v>
      </c>
      <c r="O10" t="s">
        <v>37</v>
      </c>
      <c r="P10" t="str">
        <f>_xlfn.XLOOKUP(responses[[#This Row],[reason_for_purchase_free_response]],reason[reason_for_purchase_free_response],reason[reason_for_purchase])</f>
        <v>size</v>
      </c>
      <c r="Q10" t="s">
        <v>12</v>
      </c>
      <c r="R10" t="s">
        <v>31</v>
      </c>
      <c r="S10" t="s">
        <v>21</v>
      </c>
    </row>
    <row r="11" spans="1:19" ht="17" thickBot="1">
      <c r="A11" s="31"/>
      <c r="B11" s="31"/>
      <c r="C11" s="31"/>
      <c r="D11" s="31"/>
      <c r="K11" t="s">
        <v>317</v>
      </c>
      <c r="L11" t="s">
        <v>41</v>
      </c>
      <c r="M11" t="str">
        <f>_xlfn.XLOOKUP(responses[[#This Row],[plant_types]],plant_info[plant],plant_info[maintenance-requirements])</f>
        <v>low-maintenance</v>
      </c>
      <c r="N11" t="str">
        <f>_xlfn.XLOOKUP(responses[[#This Row],[plant_types]],plant_info[plant],plant_info[toxic])</f>
        <v>safe for pets &amp; children</v>
      </c>
      <c r="O11" t="s">
        <v>40</v>
      </c>
      <c r="P11" t="str">
        <f>_xlfn.XLOOKUP(responses[[#This Row],[reason_for_purchase_free_response]],reason[reason_for_purchase_free_response],reason[reason_for_purchase])</f>
        <v>rare or unique species</v>
      </c>
      <c r="Q11" t="s">
        <v>28</v>
      </c>
      <c r="R11" t="s">
        <v>39</v>
      </c>
      <c r="S11" t="s">
        <v>25</v>
      </c>
    </row>
    <row r="12" spans="1:19" ht="17" thickBot="1">
      <c r="A12" s="30" t="s">
        <v>527</v>
      </c>
      <c r="B12" s="31" t="s">
        <v>578</v>
      </c>
      <c r="C12" s="31"/>
      <c r="D12" s="31"/>
      <c r="K12" t="s">
        <v>318</v>
      </c>
      <c r="L12" t="s">
        <v>10</v>
      </c>
      <c r="M12" t="str">
        <f>_xlfn.XLOOKUP(responses[[#This Row],[plant_types]],plant_info[plant],plant_info[maintenance-requirements])</f>
        <v>low-maintenance</v>
      </c>
      <c r="N12" t="str">
        <f>_xlfn.XLOOKUP(responses[[#This Row],[plant_types]],plant_info[plant],plant_info[toxic])</f>
        <v>safe for pets &amp; children</v>
      </c>
      <c r="O12" t="s">
        <v>42</v>
      </c>
      <c r="P12" t="str">
        <f>_xlfn.XLOOKUP(responses[[#This Row],[reason_for_purchase_free_response]],reason[reason_for_purchase_free_response],reason[reason_for_purchase])</f>
        <v>pet-friendly or safe for children</v>
      </c>
      <c r="Q12" t="s">
        <v>6</v>
      </c>
      <c r="R12" t="s">
        <v>18</v>
      </c>
      <c r="S12" t="s">
        <v>25</v>
      </c>
    </row>
    <row r="13" spans="1:19" ht="17" thickBot="1">
      <c r="A13" s="30"/>
      <c r="B13" s="31"/>
      <c r="C13" s="31"/>
      <c r="D13" s="31"/>
      <c r="K13" t="s">
        <v>319</v>
      </c>
      <c r="L13" t="s">
        <v>30</v>
      </c>
      <c r="M13" t="str">
        <f>_xlfn.XLOOKUP(responses[[#This Row],[plant_types]],plant_info[plant],plant_info[maintenance-requirements])</f>
        <v>low-maintenance</v>
      </c>
      <c r="N13" t="str">
        <f>_xlfn.XLOOKUP(responses[[#This Row],[plant_types]],plant_info[plant],plant_info[toxic])</f>
        <v>safe for pets &amp; children</v>
      </c>
      <c r="O13" t="s">
        <v>43</v>
      </c>
      <c r="P13" t="str">
        <f>_xlfn.XLOOKUP(responses[[#This Row],[reason_for_purchase_free_response]],reason[reason_for_purchase_free_response],reason[reason_for_purchase])</f>
        <v>pet-friendly or safe for children</v>
      </c>
      <c r="Q13" t="s">
        <v>12</v>
      </c>
      <c r="R13" t="s">
        <v>18</v>
      </c>
      <c r="S13" t="s">
        <v>13</v>
      </c>
    </row>
    <row r="14" spans="1:19" ht="17" thickBot="1">
      <c r="A14" s="30"/>
      <c r="B14" s="31"/>
      <c r="C14" s="31"/>
      <c r="D14" s="31"/>
      <c r="K14" t="s">
        <v>320</v>
      </c>
      <c r="L14" t="s">
        <v>20</v>
      </c>
      <c r="M14" t="str">
        <f>_xlfn.XLOOKUP(responses[[#This Row],[plant_types]],plant_info[plant],plant_info[maintenance-requirements])</f>
        <v>low-maintenance</v>
      </c>
      <c r="N14" t="str">
        <f>_xlfn.XLOOKUP(responses[[#This Row],[plant_types]],plant_info[plant],plant_info[toxic])</f>
        <v>safe for pets &amp; children</v>
      </c>
      <c r="O14" t="s">
        <v>44</v>
      </c>
      <c r="P14" t="str">
        <f>_xlfn.XLOOKUP(responses[[#This Row],[reason_for_purchase_free_response]],reason[reason_for_purchase_free_response],reason[reason_for_purchase])</f>
        <v>care requirements</v>
      </c>
      <c r="Q14" t="s">
        <v>12</v>
      </c>
      <c r="R14" t="s">
        <v>7</v>
      </c>
      <c r="S14" t="s">
        <v>8</v>
      </c>
    </row>
    <row r="15" spans="1:19" ht="17" thickBot="1">
      <c r="A15" s="30" t="s">
        <v>528</v>
      </c>
      <c r="B15" s="31" t="s">
        <v>549</v>
      </c>
      <c r="C15" s="31"/>
      <c r="D15" s="31"/>
      <c r="K15" t="s">
        <v>321</v>
      </c>
      <c r="L15" t="s">
        <v>20</v>
      </c>
      <c r="M15" t="str">
        <f>_xlfn.XLOOKUP(responses[[#This Row],[plant_types]],plant_info[plant],plant_info[maintenance-requirements])</f>
        <v>low-maintenance</v>
      </c>
      <c r="N15" t="str">
        <f>_xlfn.XLOOKUP(responses[[#This Row],[plant_types]],plant_info[plant],plant_info[toxic])</f>
        <v>safe for pets &amp; children</v>
      </c>
      <c r="O15" t="s">
        <v>45</v>
      </c>
      <c r="P15" t="str">
        <f>_xlfn.XLOOKUP(responses[[#This Row],[reason_for_purchase_free_response]],reason[reason_for_purchase_free_response],reason[reason_for_purchase])</f>
        <v>care requirements</v>
      </c>
      <c r="Q15" t="s">
        <v>6</v>
      </c>
      <c r="R15" t="s">
        <v>24</v>
      </c>
      <c r="S15" t="s">
        <v>21</v>
      </c>
    </row>
    <row r="16" spans="1:19" ht="16" customHeight="1" thickBot="1">
      <c r="A16" s="30"/>
      <c r="B16" s="31"/>
      <c r="C16" s="31"/>
      <c r="D16" s="31"/>
      <c r="K16" t="s">
        <v>322</v>
      </c>
      <c r="L16" t="s">
        <v>47</v>
      </c>
      <c r="M16" t="str">
        <f>_xlfn.XLOOKUP(responses[[#This Row],[plant_types]],plant_info[plant],plant_info[maintenance-requirements])</f>
        <v>low-maintenance</v>
      </c>
      <c r="N16" t="str">
        <f>_xlfn.XLOOKUP(responses[[#This Row],[plant_types]],plant_info[plant],plant_info[toxic])</f>
        <v>safe for pets &amp; children</v>
      </c>
      <c r="O16" t="s">
        <v>46</v>
      </c>
      <c r="P16" t="str">
        <f>_xlfn.XLOOKUP(responses[[#This Row],[reason_for_purchase_free_response]],reason[reason_for_purchase_free_response],reason[reason_for_purchase])</f>
        <v>care requirements</v>
      </c>
      <c r="Q16" t="s">
        <v>6</v>
      </c>
      <c r="R16" t="s">
        <v>18</v>
      </c>
      <c r="S16" t="s">
        <v>35</v>
      </c>
    </row>
    <row r="17" spans="1:19" ht="17" thickBot="1">
      <c r="A17" s="30"/>
      <c r="B17" s="31"/>
      <c r="C17" s="31"/>
      <c r="D17" s="31"/>
      <c r="K17" t="s">
        <v>323</v>
      </c>
      <c r="L17" t="s">
        <v>49</v>
      </c>
      <c r="M17" t="str">
        <f>_xlfn.XLOOKUP(responses[[#This Row],[plant_types]],plant_info[plant],plant_info[maintenance-requirements])</f>
        <v>low-maintenance</v>
      </c>
      <c r="N17" t="str">
        <f>_xlfn.XLOOKUP(responses[[#This Row],[plant_types]],plant_info[plant],plant_info[toxic])</f>
        <v>safe for pets &amp; children</v>
      </c>
      <c r="O17" t="s">
        <v>48</v>
      </c>
      <c r="P17" t="str">
        <f>_xlfn.XLOOKUP(responses[[#This Row],[reason_for_purchase_free_response]],reason[reason_for_purchase_free_response],reason[reason_for_purchase])</f>
        <v>benefits</v>
      </c>
      <c r="Q17" t="s">
        <v>12</v>
      </c>
      <c r="R17" t="s">
        <v>18</v>
      </c>
      <c r="S17" t="s">
        <v>8</v>
      </c>
    </row>
    <row r="18" spans="1:19" ht="16" customHeight="1" thickBot="1">
      <c r="A18" s="30" t="s">
        <v>529</v>
      </c>
      <c r="B18" s="31" t="s">
        <v>530</v>
      </c>
      <c r="C18" s="31"/>
      <c r="D18" s="29" t="s">
        <v>541</v>
      </c>
      <c r="F18" s="26" t="s">
        <v>548</v>
      </c>
      <c r="G18" s="26"/>
      <c r="H18" s="26"/>
      <c r="K18" t="s">
        <v>324</v>
      </c>
      <c r="L18" t="s">
        <v>51</v>
      </c>
      <c r="M18" t="str">
        <f>_xlfn.XLOOKUP(responses[[#This Row],[plant_types]],plant_info[plant],plant_info[maintenance-requirements])</f>
        <v>med-maintenance</v>
      </c>
      <c r="N18" t="str">
        <f>_xlfn.XLOOKUP(responses[[#This Row],[plant_types]],plant_info[plant],plant_info[toxic])</f>
        <v>safe for pets &amp; children</v>
      </c>
      <c r="O18" t="s">
        <v>50</v>
      </c>
      <c r="P18" t="str">
        <f>_xlfn.XLOOKUP(responses[[#This Row],[reason_for_purchase_free_response]],reason[reason_for_purchase_free_response],reason[reason_for_purchase])</f>
        <v>benefits</v>
      </c>
      <c r="Q18" t="s">
        <v>12</v>
      </c>
      <c r="R18" t="s">
        <v>24</v>
      </c>
      <c r="S18" t="s">
        <v>13</v>
      </c>
    </row>
    <row r="19" spans="1:19" ht="16" customHeight="1" thickBot="1">
      <c r="A19" s="30"/>
      <c r="B19" s="31"/>
      <c r="C19" s="31"/>
      <c r="D19" s="29"/>
      <c r="K19" t="s">
        <v>325</v>
      </c>
      <c r="L19" t="s">
        <v>15</v>
      </c>
      <c r="M19" t="str">
        <f>_xlfn.XLOOKUP(responses[[#This Row],[plant_types]],plant_info[plant],plant_info[maintenance-requirements])</f>
        <v>low-maintenance</v>
      </c>
      <c r="N19" t="str">
        <f>_xlfn.XLOOKUP(responses[[#This Row],[plant_types]],plant_info[plant],plant_info[toxic])</f>
        <v>safe for pets &amp; children</v>
      </c>
      <c r="O19" t="s">
        <v>52</v>
      </c>
      <c r="P19" t="str">
        <f>_xlfn.XLOOKUP(responses[[#This Row],[reason_for_purchase_free_response]],reason[reason_for_purchase_free_response],reason[reason_for_purchase])</f>
        <v>benefits</v>
      </c>
      <c r="Q19" t="s">
        <v>17</v>
      </c>
      <c r="R19" t="s">
        <v>18</v>
      </c>
      <c r="S19" t="s">
        <v>21</v>
      </c>
    </row>
    <row r="20" spans="1:19" ht="17" thickBot="1">
      <c r="A20" s="4" t="s">
        <v>531</v>
      </c>
      <c r="B20" s="5" t="s">
        <v>532</v>
      </c>
      <c r="C20" s="49" t="s">
        <v>593</v>
      </c>
      <c r="D20" s="50"/>
      <c r="F20" s="46" t="s">
        <v>588</v>
      </c>
      <c r="G20" t="s">
        <v>590</v>
      </c>
      <c r="K20" t="s">
        <v>326</v>
      </c>
      <c r="L20" t="s">
        <v>41</v>
      </c>
      <c r="M20" t="str">
        <f>_xlfn.XLOOKUP(responses[[#This Row],[plant_types]],plant_info[plant],plant_info[maintenance-requirements])</f>
        <v>low-maintenance</v>
      </c>
      <c r="N20" t="str">
        <f>_xlfn.XLOOKUP(responses[[#This Row],[plant_types]],plant_info[plant],plant_info[toxic])</f>
        <v>safe for pets &amp; children</v>
      </c>
      <c r="O20" t="s">
        <v>53</v>
      </c>
      <c r="P20" t="str">
        <f>_xlfn.XLOOKUP(responses[[#This Row],[reason_for_purchase_free_response]],reason[reason_for_purchase_free_response],reason[reason_for_purchase])</f>
        <v>benefits</v>
      </c>
      <c r="Q20" t="s">
        <v>12</v>
      </c>
      <c r="R20" t="s">
        <v>24</v>
      </c>
      <c r="S20" t="s">
        <v>25</v>
      </c>
    </row>
    <row r="21" spans="1:19" ht="17" thickBot="1">
      <c r="A21" s="30" t="s">
        <v>533</v>
      </c>
      <c r="B21" s="31" t="s">
        <v>534</v>
      </c>
      <c r="C21" s="35">
        <v>0.79259999999999997</v>
      </c>
      <c r="D21" s="29" t="s">
        <v>541</v>
      </c>
      <c r="F21" s="47" t="s">
        <v>282</v>
      </c>
      <c r="G21" s="51">
        <v>5.0691244239631339E-2</v>
      </c>
      <c r="K21" t="s">
        <v>327</v>
      </c>
      <c r="L21" t="s">
        <v>49</v>
      </c>
      <c r="M21" t="str">
        <f>_xlfn.XLOOKUP(responses[[#This Row],[plant_types]],plant_info[plant],plant_info[maintenance-requirements])</f>
        <v>low-maintenance</v>
      </c>
      <c r="N21" t="str">
        <f>_xlfn.XLOOKUP(responses[[#This Row],[plant_types]],plant_info[plant],plant_info[toxic])</f>
        <v>safe for pets &amp; children</v>
      </c>
      <c r="O21" t="s">
        <v>54</v>
      </c>
      <c r="P21" t="str">
        <f>_xlfn.XLOOKUP(responses[[#This Row],[reason_for_purchase_free_response]],reason[reason_for_purchase_free_response],reason[reason_for_purchase])</f>
        <v>care requirements</v>
      </c>
      <c r="Q21" t="s">
        <v>12</v>
      </c>
      <c r="R21" t="s">
        <v>18</v>
      </c>
      <c r="S21" t="s">
        <v>13</v>
      </c>
    </row>
    <row r="22" spans="1:19" ht="17" thickBot="1">
      <c r="A22" s="30"/>
      <c r="B22" s="31"/>
      <c r="C22" s="34"/>
      <c r="D22" s="29"/>
      <c r="F22" s="47" t="s">
        <v>285</v>
      </c>
      <c r="G22" s="51">
        <v>0.79262672811059909</v>
      </c>
      <c r="K22" t="s">
        <v>328</v>
      </c>
      <c r="L22" t="s">
        <v>20</v>
      </c>
      <c r="M22" t="str">
        <f>_xlfn.XLOOKUP(responses[[#This Row],[plant_types]],plant_info[plant],plant_info[maintenance-requirements])</f>
        <v>low-maintenance</v>
      </c>
      <c r="N22" t="str">
        <f>_xlfn.XLOOKUP(responses[[#This Row],[plant_types]],plant_info[plant],plant_info[toxic])</f>
        <v>safe for pets &amp; children</v>
      </c>
      <c r="O22" t="s">
        <v>55</v>
      </c>
      <c r="P22" t="str">
        <f>_xlfn.XLOOKUP(responses[[#This Row],[reason_for_purchase_free_response]],reason[reason_for_purchase_free_response],reason[reason_for_purchase])</f>
        <v>rare or unique species</v>
      </c>
      <c r="Q22" t="s">
        <v>6</v>
      </c>
      <c r="R22" t="s">
        <v>7</v>
      </c>
      <c r="S22" t="s">
        <v>13</v>
      </c>
    </row>
    <row r="23" spans="1:19" ht="17" thickBot="1">
      <c r="A23" s="30" t="s">
        <v>539</v>
      </c>
      <c r="B23" s="31" t="s">
        <v>540</v>
      </c>
      <c r="C23" s="33">
        <v>0.99539999999999995</v>
      </c>
      <c r="D23" s="29" t="s">
        <v>541</v>
      </c>
      <c r="F23" s="47" t="s">
        <v>286</v>
      </c>
      <c r="G23" s="51">
        <v>0.15668202764976957</v>
      </c>
      <c r="K23" t="s">
        <v>329</v>
      </c>
      <c r="L23" t="s">
        <v>57</v>
      </c>
      <c r="M23" t="str">
        <f>_xlfn.XLOOKUP(responses[[#This Row],[plant_types]],plant_info[plant],plant_info[maintenance-requirements])</f>
        <v>high-maintenance</v>
      </c>
      <c r="N23" t="str">
        <f>_xlfn.XLOOKUP(responses[[#This Row],[plant_types]],plant_info[plant],plant_info[toxic])</f>
        <v>safe for pets &amp; children</v>
      </c>
      <c r="O23" t="s">
        <v>56</v>
      </c>
      <c r="P23" t="str">
        <f>_xlfn.XLOOKUP(responses[[#This Row],[reason_for_purchase_free_response]],reason[reason_for_purchase_free_response],reason[reason_for_purchase])</f>
        <v>pet-friendly or safe for children</v>
      </c>
      <c r="Q23" t="s">
        <v>12</v>
      </c>
      <c r="R23" t="s">
        <v>18</v>
      </c>
      <c r="S23" t="s">
        <v>13</v>
      </c>
    </row>
    <row r="24" spans="1:19" ht="16" customHeight="1" thickBot="1">
      <c r="A24" s="30"/>
      <c r="B24" s="31"/>
      <c r="C24" s="33"/>
      <c r="D24" s="29"/>
      <c r="F24" s="47" t="s">
        <v>589</v>
      </c>
      <c r="G24" s="51">
        <v>1</v>
      </c>
      <c r="K24" t="s">
        <v>330</v>
      </c>
      <c r="L24" t="s">
        <v>41</v>
      </c>
      <c r="M24" t="str">
        <f>_xlfn.XLOOKUP(responses[[#This Row],[plant_types]],plant_info[plant],plant_info[maintenance-requirements])</f>
        <v>low-maintenance</v>
      </c>
      <c r="N24" t="str">
        <f>_xlfn.XLOOKUP(responses[[#This Row],[plant_types]],plant_info[plant],plant_info[toxic])</f>
        <v>safe for pets &amp; children</v>
      </c>
      <c r="O24" t="s">
        <v>58</v>
      </c>
      <c r="P24" t="str">
        <f>_xlfn.XLOOKUP(responses[[#This Row],[reason_for_purchase_free_response]],reason[reason_for_purchase_free_response],reason[reason_for_purchase])</f>
        <v>care requirements</v>
      </c>
      <c r="Q24" t="s">
        <v>12</v>
      </c>
      <c r="R24" t="s">
        <v>24</v>
      </c>
      <c r="S24" t="s">
        <v>25</v>
      </c>
    </row>
    <row r="25" spans="1:19">
      <c r="D25" s="2"/>
      <c r="K25" t="s">
        <v>331</v>
      </c>
      <c r="L25" t="s">
        <v>15</v>
      </c>
      <c r="M25" t="str">
        <f>_xlfn.XLOOKUP(responses[[#This Row],[plant_types]],plant_info[plant],plant_info[maintenance-requirements])</f>
        <v>low-maintenance</v>
      </c>
      <c r="N25" t="str">
        <f>_xlfn.XLOOKUP(responses[[#This Row],[plant_types]],plant_info[plant],plant_info[toxic])</f>
        <v>safe for pets &amp; children</v>
      </c>
      <c r="O25" t="s">
        <v>59</v>
      </c>
      <c r="P25" t="str">
        <f>_xlfn.XLOOKUP(responses[[#This Row],[reason_for_purchase_free_response]],reason[reason_for_purchase_free_response],reason[reason_for_purchase])</f>
        <v>size</v>
      </c>
      <c r="Q25" t="s">
        <v>17</v>
      </c>
      <c r="R25" t="s">
        <v>18</v>
      </c>
      <c r="S25" t="s">
        <v>13</v>
      </c>
    </row>
    <row r="26" spans="1:19" ht="20" thickBot="1">
      <c r="A26" s="32" t="s">
        <v>535</v>
      </c>
      <c r="B26" s="32"/>
      <c r="C26" s="32"/>
      <c r="D26" s="32"/>
      <c r="F26" s="46" t="s">
        <v>588</v>
      </c>
      <c r="G26" t="s">
        <v>591</v>
      </c>
      <c r="K26" t="s">
        <v>332</v>
      </c>
      <c r="L26" t="s">
        <v>20</v>
      </c>
      <c r="M26" t="str">
        <f>_xlfn.XLOOKUP(responses[[#This Row],[plant_types]],plant_info[plant],plant_info[maintenance-requirements])</f>
        <v>low-maintenance</v>
      </c>
      <c r="N26" t="str">
        <f>_xlfn.XLOOKUP(responses[[#This Row],[plant_types]],plant_info[plant],plant_info[toxic])</f>
        <v>safe for pets &amp; children</v>
      </c>
      <c r="O26" t="s">
        <v>60</v>
      </c>
      <c r="P26" t="str">
        <f>_xlfn.XLOOKUP(responses[[#This Row],[reason_for_purchase_free_response]],reason[reason_for_purchase_free_response],reason[reason_for_purchase])</f>
        <v>benefits</v>
      </c>
      <c r="Q26" t="s">
        <v>28</v>
      </c>
      <c r="R26" t="s">
        <v>24</v>
      </c>
      <c r="S26" t="s">
        <v>21</v>
      </c>
    </row>
    <row r="27" spans="1:19" ht="17" thickBot="1">
      <c r="A27" s="31" t="s">
        <v>572</v>
      </c>
      <c r="B27" s="31"/>
      <c r="C27" s="31"/>
      <c r="D27" s="31"/>
      <c r="F27" s="47" t="s">
        <v>281</v>
      </c>
      <c r="G27" s="51">
        <v>0.99539170506912444</v>
      </c>
      <c r="K27" t="s">
        <v>333</v>
      </c>
      <c r="L27" t="s">
        <v>30</v>
      </c>
      <c r="M27" t="str">
        <f>_xlfn.XLOOKUP(responses[[#This Row],[plant_types]],plant_info[plant],plant_info[maintenance-requirements])</f>
        <v>low-maintenance</v>
      </c>
      <c r="N27" t="str">
        <f>_xlfn.XLOOKUP(responses[[#This Row],[plant_types]],plant_info[plant],plant_info[toxic])</f>
        <v>safe for pets &amp; children</v>
      </c>
      <c r="O27" t="s">
        <v>61</v>
      </c>
      <c r="P27" t="str">
        <f>_xlfn.XLOOKUP(responses[[#This Row],[reason_for_purchase_free_response]],reason[reason_for_purchase_free_response],reason[reason_for_purchase])</f>
        <v>care requirements</v>
      </c>
      <c r="Q27" t="s">
        <v>6</v>
      </c>
      <c r="R27" t="s">
        <v>18</v>
      </c>
      <c r="S27" t="s">
        <v>25</v>
      </c>
    </row>
    <row r="28" spans="1:19" ht="17" thickBot="1">
      <c r="A28" s="31"/>
      <c r="B28" s="31"/>
      <c r="C28" s="31"/>
      <c r="D28" s="31"/>
      <c r="F28" s="47" t="s">
        <v>276</v>
      </c>
      <c r="G28" s="51">
        <v>4.608294930875576E-3</v>
      </c>
      <c r="K28" t="s">
        <v>334</v>
      </c>
      <c r="L28" t="s">
        <v>10</v>
      </c>
      <c r="M28" t="str">
        <f>_xlfn.XLOOKUP(responses[[#This Row],[plant_types]],plant_info[plant],plant_info[maintenance-requirements])</f>
        <v>low-maintenance</v>
      </c>
      <c r="N28" t="str">
        <f>_xlfn.XLOOKUP(responses[[#This Row],[plant_types]],plant_info[plant],plant_info[toxic])</f>
        <v>safe for pets &amp; children</v>
      </c>
      <c r="O28" t="s">
        <v>62</v>
      </c>
      <c r="P28" t="str">
        <f>_xlfn.XLOOKUP(responses[[#This Row],[reason_for_purchase_free_response]],reason[reason_for_purchase_free_response],reason[reason_for_purchase])</f>
        <v>care requirements</v>
      </c>
      <c r="Q28" t="s">
        <v>6</v>
      </c>
      <c r="R28" t="s">
        <v>18</v>
      </c>
      <c r="S28" t="s">
        <v>8</v>
      </c>
    </row>
    <row r="29" spans="1:19" ht="17" thickBot="1">
      <c r="A29" s="31"/>
      <c r="B29" s="31"/>
      <c r="C29" s="31"/>
      <c r="D29" s="31"/>
      <c r="F29" s="47" t="s">
        <v>589</v>
      </c>
      <c r="G29" s="51">
        <v>1</v>
      </c>
      <c r="K29" t="s">
        <v>335</v>
      </c>
      <c r="L29" t="s">
        <v>64</v>
      </c>
      <c r="M29" t="str">
        <f>_xlfn.XLOOKUP(responses[[#This Row],[plant_types]],plant_info[plant],plant_info[maintenance-requirements])</f>
        <v>low-maintenance</v>
      </c>
      <c r="N29" t="str">
        <f>_xlfn.XLOOKUP(responses[[#This Row],[plant_types]],plant_info[plant],plant_info[toxic])</f>
        <v>safe for pets &amp; children</v>
      </c>
      <c r="O29" t="s">
        <v>63</v>
      </c>
      <c r="P29" t="str">
        <f>_xlfn.XLOOKUP(responses[[#This Row],[reason_for_purchase_free_response]],reason[reason_for_purchase_free_response],reason[reason_for_purchase])</f>
        <v>size</v>
      </c>
      <c r="Q29" t="s">
        <v>17</v>
      </c>
      <c r="R29" t="s">
        <v>24</v>
      </c>
      <c r="S29" t="s">
        <v>13</v>
      </c>
    </row>
    <row r="30" spans="1:19" ht="17" thickBot="1">
      <c r="A30" s="30" t="s">
        <v>527</v>
      </c>
      <c r="B30" s="31" t="s">
        <v>550</v>
      </c>
      <c r="C30" s="31"/>
      <c r="D30" s="29" t="s">
        <v>542</v>
      </c>
      <c r="K30" t="s">
        <v>336</v>
      </c>
      <c r="L30" t="s">
        <v>15</v>
      </c>
      <c r="M30" t="str">
        <f>_xlfn.XLOOKUP(responses[[#This Row],[plant_types]],plant_info[plant],plant_info[maintenance-requirements])</f>
        <v>low-maintenance</v>
      </c>
      <c r="N30" t="str">
        <f>_xlfn.XLOOKUP(responses[[#This Row],[plant_types]],plant_info[plant],plant_info[toxic])</f>
        <v>safe for pets &amp; children</v>
      </c>
      <c r="O30" t="s">
        <v>65</v>
      </c>
      <c r="P30" t="str">
        <f>_xlfn.XLOOKUP(responses[[#This Row],[reason_for_purchase_free_response]],reason[reason_for_purchase_free_response],reason[reason_for_purchase])</f>
        <v>benefits</v>
      </c>
      <c r="Q30" t="s">
        <v>6</v>
      </c>
      <c r="R30" t="s">
        <v>24</v>
      </c>
      <c r="S30" t="s">
        <v>13</v>
      </c>
    </row>
    <row r="31" spans="1:19" ht="17" thickBot="1">
      <c r="A31" s="30"/>
      <c r="B31" s="31"/>
      <c r="C31" s="31"/>
      <c r="D31" s="29"/>
      <c r="K31" t="s">
        <v>337</v>
      </c>
      <c r="L31" t="s">
        <v>64</v>
      </c>
      <c r="M31" t="str">
        <f>_xlfn.XLOOKUP(responses[[#This Row],[plant_types]],plant_info[plant],plant_info[maintenance-requirements])</f>
        <v>low-maintenance</v>
      </c>
      <c r="N31" t="str">
        <f>_xlfn.XLOOKUP(responses[[#This Row],[plant_types]],plant_info[plant],plant_info[toxic])</f>
        <v>safe for pets &amp; children</v>
      </c>
      <c r="O31" t="s">
        <v>66</v>
      </c>
      <c r="P31" t="str">
        <f>_xlfn.XLOOKUP(responses[[#This Row],[reason_for_purchase_free_response]],reason[reason_for_purchase_free_response],reason[reason_for_purchase])</f>
        <v>pet-friendly or safe for children</v>
      </c>
      <c r="Q31" t="s">
        <v>6</v>
      </c>
      <c r="R31" t="s">
        <v>31</v>
      </c>
      <c r="S31" t="s">
        <v>13</v>
      </c>
    </row>
    <row r="32" spans="1:19" ht="17" thickBot="1">
      <c r="A32" s="30"/>
      <c r="B32" s="31"/>
      <c r="C32" s="31"/>
      <c r="D32" s="29"/>
      <c r="K32" t="s">
        <v>338</v>
      </c>
      <c r="L32" t="s">
        <v>30</v>
      </c>
      <c r="M32" t="str">
        <f>_xlfn.XLOOKUP(responses[[#This Row],[plant_types]],plant_info[plant],plant_info[maintenance-requirements])</f>
        <v>low-maintenance</v>
      </c>
      <c r="N32" t="str">
        <f>_xlfn.XLOOKUP(responses[[#This Row],[plant_types]],plant_info[plant],plant_info[toxic])</f>
        <v>safe for pets &amp; children</v>
      </c>
      <c r="O32" t="s">
        <v>67</v>
      </c>
      <c r="P32" t="str">
        <f>_xlfn.XLOOKUP(responses[[#This Row],[reason_for_purchase_free_response]],reason[reason_for_purchase_free_response],reason[reason_for_purchase])</f>
        <v>pet-friendly or safe for children</v>
      </c>
      <c r="Q32" t="s">
        <v>6</v>
      </c>
      <c r="R32" t="s">
        <v>7</v>
      </c>
      <c r="S32" t="s">
        <v>35</v>
      </c>
    </row>
    <row r="33" spans="1:19" ht="17" thickBot="1">
      <c r="A33" s="30" t="s">
        <v>528</v>
      </c>
      <c r="B33" s="31" t="s">
        <v>536</v>
      </c>
      <c r="C33" s="31"/>
      <c r="D33" s="29" t="s">
        <v>541</v>
      </c>
      <c r="F33" s="26" t="s">
        <v>548</v>
      </c>
      <c r="G33" s="26"/>
      <c r="H33" s="26"/>
      <c r="K33" t="s">
        <v>339</v>
      </c>
      <c r="L33" t="s">
        <v>49</v>
      </c>
      <c r="M33" t="str">
        <f>_xlfn.XLOOKUP(responses[[#This Row],[plant_types]],plant_info[plant],plant_info[maintenance-requirements])</f>
        <v>low-maintenance</v>
      </c>
      <c r="N33" t="str">
        <f>_xlfn.XLOOKUP(responses[[#This Row],[plant_types]],plant_info[plant],plant_info[toxic])</f>
        <v>safe for pets &amp; children</v>
      </c>
      <c r="O33" t="s">
        <v>68</v>
      </c>
      <c r="P33" t="str">
        <f>_xlfn.XLOOKUP(responses[[#This Row],[reason_for_purchase_free_response]],reason[reason_for_purchase_free_response],reason[reason_for_purchase])</f>
        <v>pet-friendly or safe for children</v>
      </c>
      <c r="Q33" t="s">
        <v>6</v>
      </c>
      <c r="R33" t="s">
        <v>18</v>
      </c>
      <c r="S33" t="s">
        <v>35</v>
      </c>
    </row>
    <row r="34" spans="1:19" ht="17" thickBot="1">
      <c r="A34" s="30"/>
      <c r="B34" s="31"/>
      <c r="C34" s="31"/>
      <c r="D34" s="29"/>
      <c r="K34" t="s">
        <v>340</v>
      </c>
      <c r="L34" t="s">
        <v>47</v>
      </c>
      <c r="M34" t="str">
        <f>_xlfn.XLOOKUP(responses[[#This Row],[plant_types]],plant_info[plant],plant_info[maintenance-requirements])</f>
        <v>low-maintenance</v>
      </c>
      <c r="N34" t="str">
        <f>_xlfn.XLOOKUP(responses[[#This Row],[plant_types]],plant_info[plant],plant_info[toxic])</f>
        <v>safe for pets &amp; children</v>
      </c>
      <c r="O34" t="s">
        <v>69</v>
      </c>
      <c r="P34" t="str">
        <f>_xlfn.XLOOKUP(responses[[#This Row],[reason_for_purchase_free_response]],reason[reason_for_purchase_free_response],reason[reason_for_purchase])</f>
        <v>benefits</v>
      </c>
      <c r="Q34" t="s">
        <v>6</v>
      </c>
      <c r="R34" t="s">
        <v>18</v>
      </c>
      <c r="S34" t="s">
        <v>35</v>
      </c>
    </row>
    <row r="35" spans="1:19" ht="17" thickBot="1">
      <c r="A35" s="30"/>
      <c r="B35" s="31"/>
      <c r="C35" s="31"/>
      <c r="D35" s="29"/>
      <c r="F35" s="46" t="s">
        <v>588</v>
      </c>
      <c r="G35" t="s">
        <v>592</v>
      </c>
      <c r="K35" t="s">
        <v>341</v>
      </c>
      <c r="L35" t="s">
        <v>20</v>
      </c>
      <c r="M35" t="str">
        <f>_xlfn.XLOOKUP(responses[[#This Row],[plant_types]],plant_info[plant],plant_info[maintenance-requirements])</f>
        <v>low-maintenance</v>
      </c>
      <c r="N35" t="str">
        <f>_xlfn.XLOOKUP(responses[[#This Row],[plant_types]],plant_info[plant],plant_info[toxic])</f>
        <v>safe for pets &amp; children</v>
      </c>
      <c r="O35" t="s">
        <v>70</v>
      </c>
      <c r="P35" t="str">
        <f>_xlfn.XLOOKUP(responses[[#This Row],[reason_for_purchase_free_response]],reason[reason_for_purchase_free_response],reason[reason_for_purchase])</f>
        <v>pet-friendly or safe for children</v>
      </c>
      <c r="Q35" t="s">
        <v>28</v>
      </c>
      <c r="R35" t="s">
        <v>39</v>
      </c>
      <c r="S35" t="s">
        <v>21</v>
      </c>
    </row>
    <row r="36" spans="1:19" ht="17" thickBot="1">
      <c r="A36" s="37" t="s">
        <v>529</v>
      </c>
      <c r="B36" s="31" t="s">
        <v>537</v>
      </c>
      <c r="C36" s="35">
        <v>0.26729999999999998</v>
      </c>
      <c r="D36" s="29" t="s">
        <v>541</v>
      </c>
      <c r="F36" s="47" t="s">
        <v>5</v>
      </c>
      <c r="G36" s="51">
        <v>0.26728110599078342</v>
      </c>
      <c r="K36" t="s">
        <v>342</v>
      </c>
      <c r="L36" t="s">
        <v>73</v>
      </c>
      <c r="M36" t="str">
        <f>_xlfn.XLOOKUP(responses[[#This Row],[plant_types]],plant_info[plant],plant_info[maintenance-requirements])</f>
        <v>high-maintenance</v>
      </c>
      <c r="N36" t="str">
        <f>_xlfn.XLOOKUP(responses[[#This Row],[plant_types]],plant_info[plant],plant_info[toxic])</f>
        <v>safe for pets &amp; children</v>
      </c>
      <c r="O36" t="s">
        <v>72</v>
      </c>
      <c r="P36" t="str">
        <f>_xlfn.XLOOKUP(responses[[#This Row],[reason_for_purchase_free_response]],reason[reason_for_purchase_free_response],reason[reason_for_purchase])</f>
        <v>price</v>
      </c>
      <c r="Q36" t="s">
        <v>6</v>
      </c>
      <c r="R36" t="s">
        <v>39</v>
      </c>
      <c r="S36" t="s">
        <v>21</v>
      </c>
    </row>
    <row r="37" spans="1:19" ht="17" thickBot="1">
      <c r="A37" s="37"/>
      <c r="B37" s="31"/>
      <c r="C37" s="34"/>
      <c r="D37" s="29"/>
      <c r="F37" s="47" t="s">
        <v>11</v>
      </c>
      <c r="G37" s="51">
        <v>0.1889400921658986</v>
      </c>
      <c r="K37" t="s">
        <v>343</v>
      </c>
      <c r="L37" t="s">
        <v>75</v>
      </c>
      <c r="M37" t="str">
        <f>_xlfn.XLOOKUP(responses[[#This Row],[plant_types]],plant_info[plant],plant_info[maintenance-requirements])</f>
        <v>med-maintenance</v>
      </c>
      <c r="N37" t="str">
        <f>_xlfn.XLOOKUP(responses[[#This Row],[plant_types]],plant_info[plant],plant_info[toxic])</f>
        <v>safe for pets &amp; children</v>
      </c>
      <c r="O37" t="s">
        <v>74</v>
      </c>
      <c r="P37" t="str">
        <f>_xlfn.XLOOKUP(responses[[#This Row],[reason_for_purchase_free_response]],reason[reason_for_purchase_free_response],reason[reason_for_purchase])</f>
        <v>care requirements</v>
      </c>
      <c r="Q37" t="s">
        <v>6</v>
      </c>
      <c r="R37" t="s">
        <v>24</v>
      </c>
      <c r="S37" t="s">
        <v>25</v>
      </c>
    </row>
    <row r="38" spans="1:19" ht="17" thickBot="1">
      <c r="A38" s="37"/>
      <c r="B38" s="31"/>
      <c r="C38" s="34"/>
      <c r="D38" s="29"/>
      <c r="F38" s="47" t="s">
        <v>16</v>
      </c>
      <c r="G38" s="51">
        <v>0.25806451612903225</v>
      </c>
      <c r="K38" t="s">
        <v>344</v>
      </c>
      <c r="L38" t="s">
        <v>30</v>
      </c>
      <c r="M38" t="str">
        <f>_xlfn.XLOOKUP(responses[[#This Row],[plant_types]],plant_info[plant],plant_info[maintenance-requirements])</f>
        <v>low-maintenance</v>
      </c>
      <c r="N38" t="str">
        <f>_xlfn.XLOOKUP(responses[[#This Row],[plant_types]],plant_info[plant],plant_info[toxic])</f>
        <v>safe for pets &amp; children</v>
      </c>
      <c r="O38" t="s">
        <v>76</v>
      </c>
      <c r="P38" t="str">
        <f>_xlfn.XLOOKUP(responses[[#This Row],[reason_for_purchase_free_response]],reason[reason_for_purchase_free_response],reason[reason_for_purchase])</f>
        <v>benefits</v>
      </c>
      <c r="Q38" t="s">
        <v>12</v>
      </c>
      <c r="R38" t="s">
        <v>18</v>
      </c>
      <c r="S38" t="s">
        <v>21</v>
      </c>
    </row>
    <row r="39" spans="1:19" ht="17" thickBot="1">
      <c r="A39" s="30" t="s">
        <v>531</v>
      </c>
      <c r="B39" s="31" t="s">
        <v>538</v>
      </c>
      <c r="C39" s="35">
        <v>0.2581</v>
      </c>
      <c r="D39" s="29"/>
      <c r="F39" s="47" t="s">
        <v>34</v>
      </c>
      <c r="G39" s="51">
        <v>0.11059907834101383</v>
      </c>
      <c r="K39" t="s">
        <v>345</v>
      </c>
      <c r="L39" t="s">
        <v>47</v>
      </c>
      <c r="M39" t="str">
        <f>_xlfn.XLOOKUP(responses[[#This Row],[plant_types]],plant_info[plant],plant_info[maintenance-requirements])</f>
        <v>low-maintenance</v>
      </c>
      <c r="N39" t="str">
        <f>_xlfn.XLOOKUP(responses[[#This Row],[plant_types]],plant_info[plant],plant_info[toxic])</f>
        <v>safe for pets &amp; children</v>
      </c>
      <c r="O39" t="s">
        <v>77</v>
      </c>
      <c r="P39" t="str">
        <f>_xlfn.XLOOKUP(responses[[#This Row],[reason_for_purchase_free_response]],reason[reason_for_purchase_free_response],reason[reason_for_purchase])</f>
        <v>size</v>
      </c>
      <c r="Q39" t="s">
        <v>6</v>
      </c>
      <c r="R39" t="s">
        <v>18</v>
      </c>
      <c r="S39" t="s">
        <v>13</v>
      </c>
    </row>
    <row r="40" spans="1:19" ht="17" thickBot="1">
      <c r="A40" s="30"/>
      <c r="B40" s="31"/>
      <c r="C40" s="34"/>
      <c r="D40" s="29"/>
      <c r="F40" s="47" t="s">
        <v>38</v>
      </c>
      <c r="G40" s="51">
        <v>0.12442396313364056</v>
      </c>
      <c r="K40" t="s">
        <v>346</v>
      </c>
      <c r="L40" t="s">
        <v>49</v>
      </c>
      <c r="M40" t="str">
        <f>_xlfn.XLOOKUP(responses[[#This Row],[plant_types]],plant_info[plant],plant_info[maintenance-requirements])</f>
        <v>low-maintenance</v>
      </c>
      <c r="N40" t="str">
        <f>_xlfn.XLOOKUP(responses[[#This Row],[plant_types]],plant_info[plant],plant_info[toxic])</f>
        <v>safe for pets &amp; children</v>
      </c>
      <c r="O40" t="s">
        <v>78</v>
      </c>
      <c r="P40" t="str">
        <f>_xlfn.XLOOKUP(responses[[#This Row],[reason_for_purchase_free_response]],reason[reason_for_purchase_free_response],reason[reason_for_purchase])</f>
        <v>size</v>
      </c>
      <c r="Q40" t="s">
        <v>12</v>
      </c>
      <c r="R40" t="s">
        <v>24</v>
      </c>
      <c r="S40" t="s">
        <v>35</v>
      </c>
    </row>
    <row r="41" spans="1:19">
      <c r="F41" s="47" t="s">
        <v>71</v>
      </c>
      <c r="G41" s="51">
        <v>5.0691244239631339E-2</v>
      </c>
      <c r="K41" t="s">
        <v>347</v>
      </c>
      <c r="L41" t="s">
        <v>23</v>
      </c>
      <c r="M41" t="str">
        <f>_xlfn.XLOOKUP(responses[[#This Row],[plant_types]],plant_info[plant],plant_info[maintenance-requirements])</f>
        <v>med-maintenance</v>
      </c>
      <c r="N41" t="str">
        <f>_xlfn.XLOOKUP(responses[[#This Row],[plant_types]],plant_info[plant],plant_info[toxic])</f>
        <v>safe for pets &amp; children</v>
      </c>
      <c r="O41" t="s">
        <v>79</v>
      </c>
      <c r="P41" t="str">
        <f>_xlfn.XLOOKUP(responses[[#This Row],[reason_for_purchase_free_response]],reason[reason_for_purchase_free_response],reason[reason_for_purchase])</f>
        <v>price</v>
      </c>
      <c r="Q41" t="s">
        <v>6</v>
      </c>
      <c r="R41" t="s">
        <v>7</v>
      </c>
      <c r="S41" t="s">
        <v>21</v>
      </c>
    </row>
    <row r="42" spans="1:19" ht="20" thickBot="1">
      <c r="A42" s="32" t="s">
        <v>575</v>
      </c>
      <c r="B42" s="32"/>
      <c r="C42" s="32"/>
      <c r="D42" s="32"/>
      <c r="F42" s="47" t="s">
        <v>589</v>
      </c>
      <c r="G42" s="51">
        <v>1</v>
      </c>
      <c r="K42" t="s">
        <v>348</v>
      </c>
      <c r="L42" t="s">
        <v>81</v>
      </c>
      <c r="M42" t="str">
        <f>_xlfn.XLOOKUP(responses[[#This Row],[plant_types]],plant_info[plant],plant_info[maintenance-requirements])</f>
        <v>med-maintenance</v>
      </c>
      <c r="N42" t="str">
        <f>_xlfn.XLOOKUP(responses[[#This Row],[plant_types]],plant_info[plant],plant_info[toxic])</f>
        <v>safe for pets &amp; children</v>
      </c>
      <c r="O42" t="s">
        <v>80</v>
      </c>
      <c r="P42" t="str">
        <f>_xlfn.XLOOKUP(responses[[#This Row],[reason_for_purchase_free_response]],reason[reason_for_purchase_free_response],reason[reason_for_purchase])</f>
        <v>price</v>
      </c>
      <c r="Q42" t="s">
        <v>28</v>
      </c>
      <c r="R42" t="s">
        <v>31</v>
      </c>
      <c r="S42" t="s">
        <v>13</v>
      </c>
    </row>
    <row r="43" spans="1:19" ht="17" thickBot="1">
      <c r="A43" s="40" t="s">
        <v>573</v>
      </c>
      <c r="B43" s="40"/>
      <c r="C43" s="40"/>
      <c r="D43" s="40"/>
      <c r="K43" t="s">
        <v>349</v>
      </c>
      <c r="L43" t="s">
        <v>83</v>
      </c>
      <c r="M43" t="str">
        <f>_xlfn.XLOOKUP(responses[[#This Row],[plant_types]],plant_info[plant],plant_info[maintenance-requirements])</f>
        <v>med-maintenance</v>
      </c>
      <c r="N43" t="str">
        <f>_xlfn.XLOOKUP(responses[[#This Row],[plant_types]],plant_info[plant],plant_info[toxic])</f>
        <v>safe for pets &amp; children</v>
      </c>
      <c r="O43" t="s">
        <v>82</v>
      </c>
      <c r="P43" t="str">
        <f>_xlfn.XLOOKUP(responses[[#This Row],[reason_for_purchase_free_response]],reason[reason_for_purchase_free_response],reason[reason_for_purchase])</f>
        <v>rare or unique species</v>
      </c>
      <c r="Q43" t="s">
        <v>17</v>
      </c>
      <c r="R43" t="s">
        <v>24</v>
      </c>
      <c r="S43" t="s">
        <v>35</v>
      </c>
    </row>
    <row r="44" spans="1:19" ht="17" thickBot="1">
      <c r="A44" s="40"/>
      <c r="B44" s="40"/>
      <c r="C44" s="40"/>
      <c r="D44" s="40"/>
      <c r="K44" t="s">
        <v>350</v>
      </c>
      <c r="L44" t="s">
        <v>49</v>
      </c>
      <c r="M44" t="str">
        <f>_xlfn.XLOOKUP(responses[[#This Row],[plant_types]],plant_info[plant],plant_info[maintenance-requirements])</f>
        <v>low-maintenance</v>
      </c>
      <c r="N44" t="str">
        <f>_xlfn.XLOOKUP(responses[[#This Row],[plant_types]],plant_info[plant],plant_info[toxic])</f>
        <v>safe for pets &amp; children</v>
      </c>
      <c r="O44" t="s">
        <v>84</v>
      </c>
      <c r="P44" t="str">
        <f>_xlfn.XLOOKUP(responses[[#This Row],[reason_for_purchase_free_response]],reason[reason_for_purchase_free_response],reason[reason_for_purchase])</f>
        <v>benefits</v>
      </c>
      <c r="Q44" t="s">
        <v>6</v>
      </c>
      <c r="R44" t="s">
        <v>24</v>
      </c>
      <c r="S44" t="s">
        <v>13</v>
      </c>
    </row>
    <row r="45" spans="1:19" ht="18" customHeight="1">
      <c r="A45" s="43" t="e" vm="1">
        <v>#VALUE!</v>
      </c>
      <c r="B45" s="41" t="s">
        <v>577</v>
      </c>
      <c r="C45" s="41"/>
      <c r="D45" s="41"/>
      <c r="K45" t="s">
        <v>351</v>
      </c>
      <c r="L45" t="s">
        <v>47</v>
      </c>
      <c r="M45" t="str">
        <f>_xlfn.XLOOKUP(responses[[#This Row],[plant_types]],plant_info[plant],plant_info[maintenance-requirements])</f>
        <v>low-maintenance</v>
      </c>
      <c r="N45" t="str">
        <f>_xlfn.XLOOKUP(responses[[#This Row],[plant_types]],plant_info[plant],plant_info[toxic])</f>
        <v>safe for pets &amp; children</v>
      </c>
      <c r="O45" t="s">
        <v>85</v>
      </c>
      <c r="P45" t="str">
        <f>_xlfn.XLOOKUP(responses[[#This Row],[reason_for_purchase_free_response]],reason[reason_for_purchase_free_response],reason[reason_for_purchase])</f>
        <v>care requirements</v>
      </c>
      <c r="Q45" t="s">
        <v>12</v>
      </c>
      <c r="R45" t="s">
        <v>18</v>
      </c>
      <c r="S45" t="s">
        <v>21</v>
      </c>
    </row>
    <row r="46" spans="1:19">
      <c r="A46" s="44"/>
      <c r="B46" s="42"/>
      <c r="C46" s="42"/>
      <c r="D46" s="42"/>
      <c r="K46" t="s">
        <v>352</v>
      </c>
      <c r="L46" t="s">
        <v>51</v>
      </c>
      <c r="M46" t="str">
        <f>_xlfn.XLOOKUP(responses[[#This Row],[plant_types]],plant_info[plant],plant_info[maintenance-requirements])</f>
        <v>med-maintenance</v>
      </c>
      <c r="N46" t="str">
        <f>_xlfn.XLOOKUP(responses[[#This Row],[plant_types]],plant_info[plant],plant_info[toxic])</f>
        <v>safe for pets &amp; children</v>
      </c>
      <c r="O46" t="s">
        <v>86</v>
      </c>
      <c r="P46" t="str">
        <f>_xlfn.XLOOKUP(responses[[#This Row],[reason_for_purchase_free_response]],reason[reason_for_purchase_free_response],reason[reason_for_purchase])</f>
        <v>rare or unique species</v>
      </c>
      <c r="Q46" t="s">
        <v>12</v>
      </c>
      <c r="R46" t="s">
        <v>18</v>
      </c>
      <c r="S46" t="s">
        <v>25</v>
      </c>
    </row>
    <row r="47" spans="1:19">
      <c r="A47" s="44"/>
      <c r="B47" s="42"/>
      <c r="C47" s="42"/>
      <c r="D47" s="42"/>
      <c r="K47" t="s">
        <v>353</v>
      </c>
      <c r="L47" t="s">
        <v>47</v>
      </c>
      <c r="M47" t="str">
        <f>_xlfn.XLOOKUP(responses[[#This Row],[plant_types]],plant_info[plant],plant_info[maintenance-requirements])</f>
        <v>low-maintenance</v>
      </c>
      <c r="N47" t="str">
        <f>_xlfn.XLOOKUP(responses[[#This Row],[plant_types]],plant_info[plant],plant_info[toxic])</f>
        <v>safe for pets &amp; children</v>
      </c>
      <c r="O47" t="s">
        <v>87</v>
      </c>
      <c r="P47" t="str">
        <f>_xlfn.XLOOKUP(responses[[#This Row],[reason_for_purchase_free_response]],reason[reason_for_purchase_free_response],reason[reason_for_purchase])</f>
        <v>care requirements</v>
      </c>
      <c r="Q47" t="s">
        <v>6</v>
      </c>
      <c r="R47" t="s">
        <v>24</v>
      </c>
      <c r="S47" t="s">
        <v>13</v>
      </c>
    </row>
    <row r="48" spans="1:19">
      <c r="A48" s="45"/>
      <c r="B48" s="42"/>
      <c r="C48" s="42"/>
      <c r="D48" s="42"/>
      <c r="K48" t="s">
        <v>354</v>
      </c>
      <c r="L48" t="s">
        <v>10</v>
      </c>
      <c r="M48" t="str">
        <f>_xlfn.XLOOKUP(responses[[#This Row],[plant_types]],plant_info[plant],plant_info[maintenance-requirements])</f>
        <v>low-maintenance</v>
      </c>
      <c r="N48" t="str">
        <f>_xlfn.XLOOKUP(responses[[#This Row],[plant_types]],plant_info[plant],plant_info[toxic])</f>
        <v>safe for pets &amp; children</v>
      </c>
      <c r="O48" t="s">
        <v>88</v>
      </c>
      <c r="P48" t="str">
        <f>_xlfn.XLOOKUP(responses[[#This Row],[reason_for_purchase_free_response]],reason[reason_for_purchase_free_response],reason[reason_for_purchase])</f>
        <v>care requirements</v>
      </c>
      <c r="Q48" t="s">
        <v>6</v>
      </c>
      <c r="R48" t="s">
        <v>7</v>
      </c>
      <c r="S48" t="s">
        <v>8</v>
      </c>
    </row>
    <row r="49" spans="1:19" ht="17" thickBot="1">
      <c r="A49" s="38"/>
      <c r="B49" s="36" t="s">
        <v>574</v>
      </c>
      <c r="C49" s="36"/>
      <c r="D49" s="36"/>
      <c r="K49" t="s">
        <v>355</v>
      </c>
      <c r="L49" t="s">
        <v>15</v>
      </c>
      <c r="M49" t="str">
        <f>_xlfn.XLOOKUP(responses[[#This Row],[plant_types]],plant_info[plant],plant_info[maintenance-requirements])</f>
        <v>low-maintenance</v>
      </c>
      <c r="N49" t="str">
        <f>_xlfn.XLOOKUP(responses[[#This Row],[plant_types]],plant_info[plant],plant_info[toxic])</f>
        <v>safe for pets &amp; children</v>
      </c>
      <c r="O49" t="s">
        <v>89</v>
      </c>
      <c r="P49" t="str">
        <f>_xlfn.XLOOKUP(responses[[#This Row],[reason_for_purchase_free_response]],reason[reason_for_purchase_free_response],reason[reason_for_purchase])</f>
        <v>benefits</v>
      </c>
      <c r="Q49" t="s">
        <v>6</v>
      </c>
      <c r="R49" t="s">
        <v>39</v>
      </c>
      <c r="S49" t="s">
        <v>25</v>
      </c>
    </row>
    <row r="50" spans="1:19" ht="17" thickBot="1">
      <c r="A50" s="39"/>
      <c r="B50" s="52" t="s">
        <v>594</v>
      </c>
      <c r="C50" s="53"/>
      <c r="D50" s="54"/>
      <c r="K50" t="s">
        <v>356</v>
      </c>
      <c r="L50" t="s">
        <v>75</v>
      </c>
      <c r="M50" t="str">
        <f>_xlfn.XLOOKUP(responses[[#This Row],[plant_types]],plant_info[plant],plant_info[maintenance-requirements])</f>
        <v>med-maintenance</v>
      </c>
      <c r="N50" t="str">
        <f>_xlfn.XLOOKUP(responses[[#This Row],[plant_types]],plant_info[plant],plant_info[toxic])</f>
        <v>safe for pets &amp; children</v>
      </c>
      <c r="O50" t="s">
        <v>90</v>
      </c>
      <c r="P50" t="str">
        <f>_xlfn.XLOOKUP(responses[[#This Row],[reason_for_purchase_free_response]],reason[reason_for_purchase_free_response],reason[reason_for_purchase])</f>
        <v>pet-friendly or safe for children</v>
      </c>
      <c r="Q50" t="s">
        <v>6</v>
      </c>
      <c r="R50" t="s">
        <v>24</v>
      </c>
      <c r="S50" t="s">
        <v>13</v>
      </c>
    </row>
    <row r="51" spans="1:19" ht="17" thickBot="1">
      <c r="A51" s="39"/>
      <c r="B51" s="55"/>
      <c r="C51" s="56"/>
      <c r="D51" s="57"/>
      <c r="K51" t="s">
        <v>357</v>
      </c>
      <c r="L51" t="s">
        <v>10</v>
      </c>
      <c r="M51" t="str">
        <f>_xlfn.XLOOKUP(responses[[#This Row],[plant_types]],plant_info[plant],plant_info[maintenance-requirements])</f>
        <v>low-maintenance</v>
      </c>
      <c r="N51" t="str">
        <f>_xlfn.XLOOKUP(responses[[#This Row],[plant_types]],plant_info[plant],plant_info[toxic])</f>
        <v>safe for pets &amp; children</v>
      </c>
      <c r="O51" t="s">
        <v>91</v>
      </c>
      <c r="P51" t="str">
        <f>_xlfn.XLOOKUP(responses[[#This Row],[reason_for_purchase_free_response]],reason[reason_for_purchase_free_response],reason[reason_for_purchase])</f>
        <v>care requirements</v>
      </c>
      <c r="Q51" t="s">
        <v>6</v>
      </c>
      <c r="R51" t="s">
        <v>18</v>
      </c>
      <c r="S51" t="s">
        <v>35</v>
      </c>
    </row>
    <row r="52" spans="1:19" ht="17" thickBot="1">
      <c r="A52" s="39"/>
      <c r="B52" s="55"/>
      <c r="C52" s="56"/>
      <c r="D52" s="57"/>
      <c r="K52" t="s">
        <v>358</v>
      </c>
      <c r="L52" t="s">
        <v>51</v>
      </c>
      <c r="M52" t="str">
        <f>_xlfn.XLOOKUP(responses[[#This Row],[plant_types]],plant_info[plant],plant_info[maintenance-requirements])</f>
        <v>med-maintenance</v>
      </c>
      <c r="N52" t="str">
        <f>_xlfn.XLOOKUP(responses[[#This Row],[plant_types]],plant_info[plant],plant_info[toxic])</f>
        <v>safe for pets &amp; children</v>
      </c>
      <c r="O52" t="s">
        <v>92</v>
      </c>
      <c r="P52" t="str">
        <f>_xlfn.XLOOKUP(responses[[#This Row],[reason_for_purchase_free_response]],reason[reason_for_purchase_free_response],reason[reason_for_purchase])</f>
        <v>benefits</v>
      </c>
      <c r="Q52" t="s">
        <v>12</v>
      </c>
      <c r="R52" t="s">
        <v>24</v>
      </c>
      <c r="S52" t="s">
        <v>25</v>
      </c>
    </row>
    <row r="53" spans="1:19" ht="17" thickBot="1">
      <c r="A53" s="39"/>
      <c r="B53" s="55"/>
      <c r="C53" s="56"/>
      <c r="D53" s="57"/>
      <c r="K53" t="s">
        <v>359</v>
      </c>
      <c r="L53" t="s">
        <v>20</v>
      </c>
      <c r="M53" t="str">
        <f>_xlfn.XLOOKUP(responses[[#This Row],[plant_types]],plant_info[plant],plant_info[maintenance-requirements])</f>
        <v>low-maintenance</v>
      </c>
      <c r="N53" t="str">
        <f>_xlfn.XLOOKUP(responses[[#This Row],[plant_types]],plant_info[plant],plant_info[toxic])</f>
        <v>safe for pets &amp; children</v>
      </c>
      <c r="O53" t="s">
        <v>93</v>
      </c>
      <c r="P53" t="str">
        <f>_xlfn.XLOOKUP(responses[[#This Row],[reason_for_purchase_free_response]],reason[reason_for_purchase_free_response],reason[reason_for_purchase])</f>
        <v>price</v>
      </c>
      <c r="Q53" t="s">
        <v>6</v>
      </c>
      <c r="R53" t="s">
        <v>7</v>
      </c>
      <c r="S53" t="s">
        <v>21</v>
      </c>
    </row>
    <row r="54" spans="1:19" ht="17" thickBot="1">
      <c r="A54" s="39"/>
      <c r="B54" s="55"/>
      <c r="C54" s="56"/>
      <c r="D54" s="57"/>
      <c r="K54" t="s">
        <v>360</v>
      </c>
      <c r="L54" t="s">
        <v>30</v>
      </c>
      <c r="M54" t="str">
        <f>_xlfn.XLOOKUP(responses[[#This Row],[plant_types]],plant_info[plant],plant_info[maintenance-requirements])</f>
        <v>low-maintenance</v>
      </c>
      <c r="N54" t="str">
        <f>_xlfn.XLOOKUP(responses[[#This Row],[plant_types]],plant_info[plant],plant_info[toxic])</f>
        <v>safe for pets &amp; children</v>
      </c>
      <c r="O54" t="s">
        <v>94</v>
      </c>
      <c r="P54" t="str">
        <f>_xlfn.XLOOKUP(responses[[#This Row],[reason_for_purchase_free_response]],reason[reason_for_purchase_free_response],reason[reason_for_purchase])</f>
        <v>care requirements</v>
      </c>
      <c r="Q54" t="s">
        <v>6</v>
      </c>
      <c r="R54" t="s">
        <v>31</v>
      </c>
      <c r="S54" t="s">
        <v>13</v>
      </c>
    </row>
    <row r="55" spans="1:19" ht="17" thickBot="1">
      <c r="A55" s="39"/>
      <c r="B55" s="58"/>
      <c r="C55" s="59"/>
      <c r="D55" s="60"/>
      <c r="K55" t="s">
        <v>361</v>
      </c>
      <c r="L55" t="s">
        <v>15</v>
      </c>
      <c r="M55" t="str">
        <f>_xlfn.XLOOKUP(responses[[#This Row],[plant_types]],plant_info[plant],plant_info[maintenance-requirements])</f>
        <v>low-maintenance</v>
      </c>
      <c r="N55" t="str">
        <f>_xlfn.XLOOKUP(responses[[#This Row],[plant_types]],plant_info[plant],plant_info[toxic])</f>
        <v>safe for pets &amp; children</v>
      </c>
      <c r="O55" t="s">
        <v>95</v>
      </c>
      <c r="P55" t="str">
        <f>_xlfn.XLOOKUP(responses[[#This Row],[reason_for_purchase_free_response]],reason[reason_for_purchase_free_response],reason[reason_for_purchase])</f>
        <v>pet-friendly or safe for children</v>
      </c>
      <c r="Q55" t="s">
        <v>12</v>
      </c>
      <c r="R55" t="s">
        <v>18</v>
      </c>
      <c r="S55" t="s">
        <v>8</v>
      </c>
    </row>
    <row r="56" spans="1:19">
      <c r="K56" t="s">
        <v>362</v>
      </c>
      <c r="L56" t="s">
        <v>41</v>
      </c>
      <c r="M56" t="str">
        <f>_xlfn.XLOOKUP(responses[[#This Row],[plant_types]],plant_info[plant],plant_info[maintenance-requirements])</f>
        <v>low-maintenance</v>
      </c>
      <c r="N56" t="str">
        <f>_xlfn.XLOOKUP(responses[[#This Row],[plant_types]],plant_info[plant],plant_info[toxic])</f>
        <v>safe for pets &amp; children</v>
      </c>
      <c r="O56" t="s">
        <v>96</v>
      </c>
      <c r="P56" t="str">
        <f>_xlfn.XLOOKUP(responses[[#This Row],[reason_for_purchase_free_response]],reason[reason_for_purchase_free_response],reason[reason_for_purchase])</f>
        <v>benefits</v>
      </c>
      <c r="Q56" t="s">
        <v>6</v>
      </c>
      <c r="R56" t="s">
        <v>7</v>
      </c>
      <c r="S56" t="s">
        <v>13</v>
      </c>
    </row>
    <row r="57" spans="1:19">
      <c r="K57" t="s">
        <v>363</v>
      </c>
      <c r="L57" t="s">
        <v>20</v>
      </c>
      <c r="M57" t="str">
        <f>_xlfn.XLOOKUP(responses[[#This Row],[plant_types]],plant_info[plant],plant_info[maintenance-requirements])</f>
        <v>low-maintenance</v>
      </c>
      <c r="N57" t="str">
        <f>_xlfn.XLOOKUP(responses[[#This Row],[plant_types]],plant_info[plant],plant_info[toxic])</f>
        <v>safe for pets &amp; children</v>
      </c>
      <c r="O57" t="s">
        <v>97</v>
      </c>
      <c r="P57" t="str">
        <f>_xlfn.XLOOKUP(responses[[#This Row],[reason_for_purchase_free_response]],reason[reason_for_purchase_free_response],reason[reason_for_purchase])</f>
        <v>benefits</v>
      </c>
      <c r="Q57" t="s">
        <v>6</v>
      </c>
      <c r="R57" t="s">
        <v>18</v>
      </c>
      <c r="S57" t="s">
        <v>25</v>
      </c>
    </row>
    <row r="58" spans="1:19">
      <c r="B58" s="2"/>
      <c r="K58" t="s">
        <v>364</v>
      </c>
      <c r="L58" t="s">
        <v>20</v>
      </c>
      <c r="M58" t="str">
        <f>_xlfn.XLOOKUP(responses[[#This Row],[plant_types]],plant_info[plant],plant_info[maintenance-requirements])</f>
        <v>low-maintenance</v>
      </c>
      <c r="N58" t="str">
        <f>_xlfn.XLOOKUP(responses[[#This Row],[plant_types]],plant_info[plant],plant_info[toxic])</f>
        <v>safe for pets &amp; children</v>
      </c>
      <c r="O58" t="s">
        <v>98</v>
      </c>
      <c r="P58" t="str">
        <f>_xlfn.XLOOKUP(responses[[#This Row],[reason_for_purchase_free_response]],reason[reason_for_purchase_free_response],reason[reason_for_purchase])</f>
        <v>rare or unique species</v>
      </c>
      <c r="Q58" t="s">
        <v>12</v>
      </c>
      <c r="R58" t="s">
        <v>24</v>
      </c>
      <c r="S58" t="s">
        <v>8</v>
      </c>
    </row>
    <row r="59" spans="1:19">
      <c r="K59" t="s">
        <v>365</v>
      </c>
      <c r="L59" t="s">
        <v>10</v>
      </c>
      <c r="M59" t="str">
        <f>_xlfn.XLOOKUP(responses[[#This Row],[plant_types]],plant_info[plant],plant_info[maintenance-requirements])</f>
        <v>low-maintenance</v>
      </c>
      <c r="N59" t="str">
        <f>_xlfn.XLOOKUP(responses[[#This Row],[plant_types]],plant_info[plant],plant_info[toxic])</f>
        <v>safe for pets &amp; children</v>
      </c>
      <c r="O59" t="s">
        <v>99</v>
      </c>
      <c r="P59" t="str">
        <f>_xlfn.XLOOKUP(responses[[#This Row],[reason_for_purchase_free_response]],reason[reason_for_purchase_free_response],reason[reason_for_purchase])</f>
        <v>price</v>
      </c>
      <c r="Q59" t="s">
        <v>6</v>
      </c>
      <c r="R59" t="s">
        <v>7</v>
      </c>
      <c r="S59" t="s">
        <v>13</v>
      </c>
    </row>
    <row r="60" spans="1:19">
      <c r="K60" t="s">
        <v>367</v>
      </c>
      <c r="L60" t="s">
        <v>64</v>
      </c>
      <c r="M60" t="str">
        <f>_xlfn.XLOOKUP(responses[[#This Row],[plant_types]],plant_info[plant],plant_info[maintenance-requirements])</f>
        <v>low-maintenance</v>
      </c>
      <c r="N60" t="str">
        <f>_xlfn.XLOOKUP(responses[[#This Row],[plant_types]],plant_info[plant],plant_info[toxic])</f>
        <v>safe for pets &amp; children</v>
      </c>
      <c r="O60" t="s">
        <v>101</v>
      </c>
      <c r="P60" t="str">
        <f>_xlfn.XLOOKUP(responses[[#This Row],[reason_for_purchase_free_response]],reason[reason_for_purchase_free_response],reason[reason_for_purchase])</f>
        <v>care requirements</v>
      </c>
      <c r="Q60" t="s">
        <v>12</v>
      </c>
      <c r="R60" t="s">
        <v>7</v>
      </c>
      <c r="S60" t="s">
        <v>13</v>
      </c>
    </row>
    <row r="61" spans="1:19">
      <c r="K61" t="s">
        <v>368</v>
      </c>
      <c r="L61" t="s">
        <v>33</v>
      </c>
      <c r="M61" t="str">
        <f>_xlfn.XLOOKUP(responses[[#This Row],[plant_types]],plant_info[plant],plant_info[maintenance-requirements])</f>
        <v>med-maintenance</v>
      </c>
      <c r="N61" t="str">
        <f>_xlfn.XLOOKUP(responses[[#This Row],[plant_types]],plant_info[plant],plant_info[toxic])</f>
        <v>safe for pets &amp; children</v>
      </c>
      <c r="O61" t="s">
        <v>102</v>
      </c>
      <c r="P61" t="str">
        <f>_xlfn.XLOOKUP(responses[[#This Row],[reason_for_purchase_free_response]],reason[reason_for_purchase_free_response],reason[reason_for_purchase])</f>
        <v>care requirements</v>
      </c>
      <c r="Q61" t="s">
        <v>28</v>
      </c>
      <c r="R61" t="s">
        <v>18</v>
      </c>
      <c r="S61" t="s">
        <v>8</v>
      </c>
    </row>
    <row r="62" spans="1:19">
      <c r="K62" t="s">
        <v>369</v>
      </c>
      <c r="L62" t="s">
        <v>41</v>
      </c>
      <c r="M62" t="str">
        <f>_xlfn.XLOOKUP(responses[[#This Row],[plant_types]],plant_info[plant],plant_info[maintenance-requirements])</f>
        <v>low-maintenance</v>
      </c>
      <c r="N62" t="str">
        <f>_xlfn.XLOOKUP(responses[[#This Row],[plant_types]],plant_info[plant],plant_info[toxic])</f>
        <v>safe for pets &amp; children</v>
      </c>
      <c r="O62" t="s">
        <v>103</v>
      </c>
      <c r="P62" t="str">
        <f>_xlfn.XLOOKUP(responses[[#This Row],[reason_for_purchase_free_response]],reason[reason_for_purchase_free_response],reason[reason_for_purchase])</f>
        <v>benefits</v>
      </c>
      <c r="Q62" t="s">
        <v>6</v>
      </c>
      <c r="R62" t="s">
        <v>24</v>
      </c>
      <c r="S62" t="s">
        <v>35</v>
      </c>
    </row>
    <row r="63" spans="1:19">
      <c r="K63" t="s">
        <v>370</v>
      </c>
      <c r="L63" t="s">
        <v>10</v>
      </c>
      <c r="M63" t="str">
        <f>_xlfn.XLOOKUP(responses[[#This Row],[plant_types]],plant_info[plant],plant_info[maintenance-requirements])</f>
        <v>low-maintenance</v>
      </c>
      <c r="N63" t="str">
        <f>_xlfn.XLOOKUP(responses[[#This Row],[plant_types]],plant_info[plant],plant_info[toxic])</f>
        <v>safe for pets &amp; children</v>
      </c>
      <c r="O63" t="s">
        <v>104</v>
      </c>
      <c r="P63" t="str">
        <f>_xlfn.XLOOKUP(responses[[#This Row],[reason_for_purchase_free_response]],reason[reason_for_purchase_free_response],reason[reason_for_purchase])</f>
        <v>care requirements</v>
      </c>
      <c r="Q63" t="s">
        <v>17</v>
      </c>
      <c r="R63" t="s">
        <v>18</v>
      </c>
      <c r="S63" t="s">
        <v>8</v>
      </c>
    </row>
    <row r="64" spans="1:19">
      <c r="K64" t="s">
        <v>371</v>
      </c>
      <c r="L64" t="s">
        <v>15</v>
      </c>
      <c r="M64" t="str">
        <f>_xlfn.XLOOKUP(responses[[#This Row],[plant_types]],plant_info[plant],plant_info[maintenance-requirements])</f>
        <v>low-maintenance</v>
      </c>
      <c r="N64" t="str">
        <f>_xlfn.XLOOKUP(responses[[#This Row],[plant_types]],plant_info[plant],plant_info[toxic])</f>
        <v>safe for pets &amp; children</v>
      </c>
      <c r="O64" t="s">
        <v>106</v>
      </c>
      <c r="P64" t="str">
        <f>_xlfn.XLOOKUP(responses[[#This Row],[reason_for_purchase_free_response]],reason[reason_for_purchase_free_response],reason[reason_for_purchase])</f>
        <v>pet-friendly or safe for children</v>
      </c>
      <c r="Q64" t="s">
        <v>6</v>
      </c>
      <c r="R64" t="s">
        <v>24</v>
      </c>
      <c r="S64" t="s">
        <v>105</v>
      </c>
    </row>
    <row r="65" spans="11:19">
      <c r="K65" t="s">
        <v>372</v>
      </c>
      <c r="L65" t="s">
        <v>47</v>
      </c>
      <c r="M65" t="str">
        <f>_xlfn.XLOOKUP(responses[[#This Row],[plant_types]],plant_info[plant],plant_info[maintenance-requirements])</f>
        <v>low-maintenance</v>
      </c>
      <c r="N65" t="str">
        <f>_xlfn.XLOOKUP(responses[[#This Row],[plant_types]],plant_info[plant],plant_info[toxic])</f>
        <v>safe for pets &amp; children</v>
      </c>
      <c r="O65" t="s">
        <v>107</v>
      </c>
      <c r="P65" t="str">
        <f>_xlfn.XLOOKUP(responses[[#This Row],[reason_for_purchase_free_response]],reason[reason_for_purchase_free_response],reason[reason_for_purchase])</f>
        <v>size</v>
      </c>
      <c r="Q65" t="s">
        <v>6</v>
      </c>
      <c r="R65" t="s">
        <v>24</v>
      </c>
      <c r="S65" t="s">
        <v>21</v>
      </c>
    </row>
    <row r="66" spans="11:19">
      <c r="K66" t="s">
        <v>373</v>
      </c>
      <c r="L66" t="s">
        <v>15</v>
      </c>
      <c r="M66" t="str">
        <f>_xlfn.XLOOKUP(responses[[#This Row],[plant_types]],plant_info[plant],plant_info[maintenance-requirements])</f>
        <v>low-maintenance</v>
      </c>
      <c r="N66" t="str">
        <f>_xlfn.XLOOKUP(responses[[#This Row],[plant_types]],plant_info[plant],plant_info[toxic])</f>
        <v>safe for pets &amp; children</v>
      </c>
      <c r="O66" t="s">
        <v>108</v>
      </c>
      <c r="P66" t="str">
        <f>_xlfn.XLOOKUP(responses[[#This Row],[reason_for_purchase_free_response]],reason[reason_for_purchase_free_response],reason[reason_for_purchase])</f>
        <v>care requirements</v>
      </c>
      <c r="Q66" t="s">
        <v>28</v>
      </c>
      <c r="R66" t="s">
        <v>24</v>
      </c>
      <c r="S66" t="s">
        <v>21</v>
      </c>
    </row>
    <row r="67" spans="11:19">
      <c r="K67" t="s">
        <v>374</v>
      </c>
      <c r="L67" t="s">
        <v>83</v>
      </c>
      <c r="M67" t="str">
        <f>_xlfn.XLOOKUP(responses[[#This Row],[plant_types]],plant_info[plant],plant_info[maintenance-requirements])</f>
        <v>med-maintenance</v>
      </c>
      <c r="N67" t="str">
        <f>_xlfn.XLOOKUP(responses[[#This Row],[plant_types]],plant_info[plant],plant_info[toxic])</f>
        <v>safe for pets &amp; children</v>
      </c>
      <c r="O67" t="s">
        <v>109</v>
      </c>
      <c r="P67" t="str">
        <f>_xlfn.XLOOKUP(responses[[#This Row],[reason_for_purchase_free_response]],reason[reason_for_purchase_free_response],reason[reason_for_purchase])</f>
        <v>rare or unique species</v>
      </c>
      <c r="Q67" t="s">
        <v>17</v>
      </c>
      <c r="R67" t="s">
        <v>7</v>
      </c>
      <c r="S67" t="s">
        <v>13</v>
      </c>
    </row>
    <row r="68" spans="11:19">
      <c r="K68" t="s">
        <v>375</v>
      </c>
      <c r="L68" t="s">
        <v>10</v>
      </c>
      <c r="M68" t="str">
        <f>_xlfn.XLOOKUP(responses[[#This Row],[plant_types]],plant_info[plant],plant_info[maintenance-requirements])</f>
        <v>low-maintenance</v>
      </c>
      <c r="N68" t="str">
        <f>_xlfn.XLOOKUP(responses[[#This Row],[plant_types]],plant_info[plant],plant_info[toxic])</f>
        <v>safe for pets &amp; children</v>
      </c>
      <c r="O68" t="s">
        <v>110</v>
      </c>
      <c r="P68" t="str">
        <f>_xlfn.XLOOKUP(responses[[#This Row],[reason_for_purchase_free_response]],reason[reason_for_purchase_free_response],reason[reason_for_purchase])</f>
        <v>pet-friendly or safe for children</v>
      </c>
      <c r="Q68" t="s">
        <v>6</v>
      </c>
      <c r="R68" t="s">
        <v>7</v>
      </c>
      <c r="S68" t="s">
        <v>8</v>
      </c>
    </row>
    <row r="69" spans="11:19">
      <c r="K69" t="s">
        <v>376</v>
      </c>
      <c r="L69" t="s">
        <v>112</v>
      </c>
      <c r="M69" t="str">
        <f>_xlfn.XLOOKUP(responses[[#This Row],[plant_types]],plant_info[plant],plant_info[maintenance-requirements])</f>
        <v>low-maintenance</v>
      </c>
      <c r="N69" t="str">
        <f>_xlfn.XLOOKUP(responses[[#This Row],[plant_types]],plant_info[plant],plant_info[toxic])</f>
        <v>toxic</v>
      </c>
      <c r="O69" t="s">
        <v>111</v>
      </c>
      <c r="P69" t="str">
        <f>_xlfn.XLOOKUP(responses[[#This Row],[reason_for_purchase_free_response]],reason[reason_for_purchase_free_response],reason[reason_for_purchase])</f>
        <v>care requirements</v>
      </c>
      <c r="Q69" t="s">
        <v>6</v>
      </c>
      <c r="R69" t="s">
        <v>7</v>
      </c>
      <c r="S69" t="s">
        <v>8</v>
      </c>
    </row>
    <row r="70" spans="11:19">
      <c r="K70" t="s">
        <v>377</v>
      </c>
      <c r="L70" t="s">
        <v>20</v>
      </c>
      <c r="M70" t="str">
        <f>_xlfn.XLOOKUP(responses[[#This Row],[plant_types]],plant_info[plant],plant_info[maintenance-requirements])</f>
        <v>low-maintenance</v>
      </c>
      <c r="N70" t="str">
        <f>_xlfn.XLOOKUP(responses[[#This Row],[plant_types]],plant_info[plant],plant_info[toxic])</f>
        <v>safe for pets &amp; children</v>
      </c>
      <c r="O70" t="s">
        <v>113</v>
      </c>
      <c r="P70" t="str">
        <f>_xlfn.XLOOKUP(responses[[#This Row],[reason_for_purchase_free_response]],reason[reason_for_purchase_free_response],reason[reason_for_purchase])</f>
        <v>pet-friendly or safe for children</v>
      </c>
      <c r="Q70" t="s">
        <v>28</v>
      </c>
      <c r="R70" t="s">
        <v>18</v>
      </c>
      <c r="S70" t="s">
        <v>21</v>
      </c>
    </row>
    <row r="71" spans="11:19">
      <c r="K71" t="s">
        <v>378</v>
      </c>
      <c r="L71" t="s">
        <v>49</v>
      </c>
      <c r="M71" t="str">
        <f>_xlfn.XLOOKUP(responses[[#This Row],[plant_types]],plant_info[plant],plant_info[maintenance-requirements])</f>
        <v>low-maintenance</v>
      </c>
      <c r="N71" t="str">
        <f>_xlfn.XLOOKUP(responses[[#This Row],[plant_types]],plant_info[plant],plant_info[toxic])</f>
        <v>safe for pets &amp; children</v>
      </c>
      <c r="O71" t="s">
        <v>114</v>
      </c>
      <c r="P71" t="str">
        <f>_xlfn.XLOOKUP(responses[[#This Row],[reason_for_purchase_free_response]],reason[reason_for_purchase_free_response],reason[reason_for_purchase])</f>
        <v>size</v>
      </c>
      <c r="Q71" t="s">
        <v>12</v>
      </c>
      <c r="R71" t="s">
        <v>18</v>
      </c>
      <c r="S71" t="s">
        <v>25</v>
      </c>
    </row>
    <row r="72" spans="11:19">
      <c r="K72" t="s">
        <v>379</v>
      </c>
      <c r="L72" t="s">
        <v>75</v>
      </c>
      <c r="M72" t="str">
        <f>_xlfn.XLOOKUP(responses[[#This Row],[plant_types]],plant_info[plant],plant_info[maintenance-requirements])</f>
        <v>med-maintenance</v>
      </c>
      <c r="N72" t="str">
        <f>_xlfn.XLOOKUP(responses[[#This Row],[plant_types]],plant_info[plant],plant_info[toxic])</f>
        <v>safe for pets &amp; children</v>
      </c>
      <c r="O72" t="s">
        <v>115</v>
      </c>
      <c r="P72" t="str">
        <f>_xlfn.XLOOKUP(responses[[#This Row],[reason_for_purchase_free_response]],reason[reason_for_purchase_free_response],reason[reason_for_purchase])</f>
        <v>size</v>
      </c>
      <c r="Q72" t="s">
        <v>12</v>
      </c>
      <c r="R72" t="s">
        <v>24</v>
      </c>
      <c r="S72" t="s">
        <v>35</v>
      </c>
    </row>
    <row r="73" spans="11:19">
      <c r="K73" t="s">
        <v>380</v>
      </c>
      <c r="L73" t="s">
        <v>49</v>
      </c>
      <c r="M73" t="str">
        <f>_xlfn.XLOOKUP(responses[[#This Row],[plant_types]],plant_info[plant],plant_info[maintenance-requirements])</f>
        <v>low-maintenance</v>
      </c>
      <c r="N73" t="str">
        <f>_xlfn.XLOOKUP(responses[[#This Row],[plant_types]],plant_info[plant],plant_info[toxic])</f>
        <v>safe for pets &amp; children</v>
      </c>
      <c r="O73" t="s">
        <v>116</v>
      </c>
      <c r="P73" t="str">
        <f>_xlfn.XLOOKUP(responses[[#This Row],[reason_for_purchase_free_response]],reason[reason_for_purchase_free_response],reason[reason_for_purchase])</f>
        <v>pet-friendly or safe for children</v>
      </c>
      <c r="Q73" t="s">
        <v>6</v>
      </c>
      <c r="R73" t="s">
        <v>18</v>
      </c>
      <c r="S73" t="s">
        <v>25</v>
      </c>
    </row>
    <row r="74" spans="11:19">
      <c r="K74" t="s">
        <v>381</v>
      </c>
      <c r="L74" t="s">
        <v>64</v>
      </c>
      <c r="M74" t="str">
        <f>_xlfn.XLOOKUP(responses[[#This Row],[plant_types]],plant_info[plant],plant_info[maintenance-requirements])</f>
        <v>low-maintenance</v>
      </c>
      <c r="N74" t="str">
        <f>_xlfn.XLOOKUP(responses[[#This Row],[plant_types]],plant_info[plant],plant_info[toxic])</f>
        <v>safe for pets &amp; children</v>
      </c>
      <c r="O74" t="s">
        <v>117</v>
      </c>
      <c r="P74" t="str">
        <f>_xlfn.XLOOKUP(responses[[#This Row],[reason_for_purchase_free_response]],reason[reason_for_purchase_free_response],reason[reason_for_purchase])</f>
        <v>price</v>
      </c>
      <c r="Q74" t="s">
        <v>28</v>
      </c>
      <c r="R74" t="s">
        <v>7</v>
      </c>
      <c r="S74" t="s">
        <v>13</v>
      </c>
    </row>
    <row r="75" spans="11:19">
      <c r="K75" t="s">
        <v>382</v>
      </c>
      <c r="L75" t="s">
        <v>51</v>
      </c>
      <c r="M75" t="str">
        <f>_xlfn.XLOOKUP(responses[[#This Row],[plant_types]],plant_info[plant],plant_info[maintenance-requirements])</f>
        <v>med-maintenance</v>
      </c>
      <c r="N75" t="str">
        <f>_xlfn.XLOOKUP(responses[[#This Row],[plant_types]],plant_info[plant],plant_info[toxic])</f>
        <v>safe for pets &amp; children</v>
      </c>
      <c r="O75" t="s">
        <v>118</v>
      </c>
      <c r="P75" t="str">
        <f>_xlfn.XLOOKUP(responses[[#This Row],[reason_for_purchase_free_response]],reason[reason_for_purchase_free_response],reason[reason_for_purchase])</f>
        <v>benefits</v>
      </c>
      <c r="Q75" t="s">
        <v>6</v>
      </c>
      <c r="R75" t="s">
        <v>7</v>
      </c>
      <c r="S75" t="s">
        <v>8</v>
      </c>
    </row>
    <row r="76" spans="11:19">
      <c r="K76" t="s">
        <v>383</v>
      </c>
      <c r="L76" t="s">
        <v>30</v>
      </c>
      <c r="M76" t="str">
        <f>_xlfn.XLOOKUP(responses[[#This Row],[plant_types]],plant_info[plant],plant_info[maintenance-requirements])</f>
        <v>low-maintenance</v>
      </c>
      <c r="N76" t="str">
        <f>_xlfn.XLOOKUP(responses[[#This Row],[plant_types]],plant_info[plant],plant_info[toxic])</f>
        <v>safe for pets &amp; children</v>
      </c>
      <c r="O76" t="s">
        <v>119</v>
      </c>
      <c r="P76" t="str">
        <f>_xlfn.XLOOKUP(responses[[#This Row],[reason_for_purchase_free_response]],reason[reason_for_purchase_free_response],reason[reason_for_purchase])</f>
        <v>price</v>
      </c>
      <c r="Q76" t="s">
        <v>17</v>
      </c>
      <c r="R76" t="s">
        <v>18</v>
      </c>
      <c r="S76" t="s">
        <v>25</v>
      </c>
    </row>
    <row r="77" spans="11:19">
      <c r="K77" t="s">
        <v>384</v>
      </c>
      <c r="L77" t="s">
        <v>121</v>
      </c>
      <c r="M77" t="str">
        <f>_xlfn.XLOOKUP(responses[[#This Row],[plant_types]],plant_info[plant],plant_info[maintenance-requirements])</f>
        <v>high-maintenance</v>
      </c>
      <c r="N77" t="str">
        <f>_xlfn.XLOOKUP(responses[[#This Row],[plant_types]],plant_info[plant],plant_info[toxic])</f>
        <v>safe for pets &amp; children</v>
      </c>
      <c r="O77" t="s">
        <v>120</v>
      </c>
      <c r="P77" t="str">
        <f>_xlfn.XLOOKUP(responses[[#This Row],[reason_for_purchase_free_response]],reason[reason_for_purchase_free_response],reason[reason_for_purchase])</f>
        <v>pet-friendly or safe for children</v>
      </c>
      <c r="Q77" t="s">
        <v>6</v>
      </c>
      <c r="R77" t="s">
        <v>7</v>
      </c>
      <c r="S77" t="s">
        <v>8</v>
      </c>
    </row>
    <row r="78" spans="11:19">
      <c r="K78" t="s">
        <v>385</v>
      </c>
      <c r="L78" t="s">
        <v>20</v>
      </c>
      <c r="M78" t="str">
        <f>_xlfn.XLOOKUP(responses[[#This Row],[plant_types]],plant_info[plant],plant_info[maintenance-requirements])</f>
        <v>low-maintenance</v>
      </c>
      <c r="N78" t="str">
        <f>_xlfn.XLOOKUP(responses[[#This Row],[plant_types]],plant_info[plant],plant_info[toxic])</f>
        <v>safe for pets &amp; children</v>
      </c>
      <c r="O78" t="s">
        <v>122</v>
      </c>
      <c r="P78" t="str">
        <f>_xlfn.XLOOKUP(responses[[#This Row],[reason_for_purchase_free_response]],reason[reason_for_purchase_free_response],reason[reason_for_purchase])</f>
        <v>benefits</v>
      </c>
      <c r="Q78" t="s">
        <v>28</v>
      </c>
      <c r="R78" t="s">
        <v>18</v>
      </c>
      <c r="S78" t="s">
        <v>25</v>
      </c>
    </row>
    <row r="79" spans="11:19">
      <c r="K79" t="s">
        <v>386</v>
      </c>
      <c r="L79" t="s">
        <v>33</v>
      </c>
      <c r="M79" t="str">
        <f>_xlfn.XLOOKUP(responses[[#This Row],[plant_types]],plant_info[plant],plant_info[maintenance-requirements])</f>
        <v>med-maintenance</v>
      </c>
      <c r="N79" t="str">
        <f>_xlfn.XLOOKUP(responses[[#This Row],[plant_types]],plant_info[plant],plant_info[toxic])</f>
        <v>safe for pets &amp; children</v>
      </c>
      <c r="O79" t="s">
        <v>123</v>
      </c>
      <c r="P79" t="str">
        <f>_xlfn.XLOOKUP(responses[[#This Row],[reason_for_purchase_free_response]],reason[reason_for_purchase_free_response],reason[reason_for_purchase])</f>
        <v>care requirements</v>
      </c>
      <c r="Q79" t="s">
        <v>6</v>
      </c>
      <c r="R79" t="s">
        <v>31</v>
      </c>
      <c r="S79" t="s">
        <v>8</v>
      </c>
    </row>
    <row r="80" spans="11:19">
      <c r="K80" t="s">
        <v>387</v>
      </c>
      <c r="L80" t="s">
        <v>64</v>
      </c>
      <c r="M80" t="str">
        <f>_xlfn.XLOOKUP(responses[[#This Row],[plant_types]],plant_info[plant],plant_info[maintenance-requirements])</f>
        <v>low-maintenance</v>
      </c>
      <c r="N80" t="str">
        <f>_xlfn.XLOOKUP(responses[[#This Row],[plant_types]],plant_info[plant],plant_info[toxic])</f>
        <v>safe for pets &amp; children</v>
      </c>
      <c r="O80" t="s">
        <v>124</v>
      </c>
      <c r="P80" t="str">
        <f>_xlfn.XLOOKUP(responses[[#This Row],[reason_for_purchase_free_response]],reason[reason_for_purchase_free_response],reason[reason_for_purchase])</f>
        <v>pet-friendly or safe for children</v>
      </c>
      <c r="Q80" t="s">
        <v>6</v>
      </c>
      <c r="R80" t="s">
        <v>39</v>
      </c>
      <c r="S80" t="s">
        <v>35</v>
      </c>
    </row>
    <row r="81" spans="11:19">
      <c r="K81" t="s">
        <v>388</v>
      </c>
      <c r="L81" t="s">
        <v>41</v>
      </c>
      <c r="M81" t="str">
        <f>_xlfn.XLOOKUP(responses[[#This Row],[plant_types]],plant_info[plant],plant_info[maintenance-requirements])</f>
        <v>low-maintenance</v>
      </c>
      <c r="N81" t="str">
        <f>_xlfn.XLOOKUP(responses[[#This Row],[plant_types]],plant_info[plant],plant_info[toxic])</f>
        <v>safe for pets &amp; children</v>
      </c>
      <c r="O81" t="s">
        <v>125</v>
      </c>
      <c r="P81" t="str">
        <f>_xlfn.XLOOKUP(responses[[#This Row],[reason_for_purchase_free_response]],reason[reason_for_purchase_free_response],reason[reason_for_purchase])</f>
        <v>pet-friendly or safe for children</v>
      </c>
      <c r="Q81" t="s">
        <v>6</v>
      </c>
      <c r="R81" t="s">
        <v>7</v>
      </c>
      <c r="S81" t="s">
        <v>21</v>
      </c>
    </row>
    <row r="82" spans="11:19">
      <c r="K82" t="s">
        <v>389</v>
      </c>
      <c r="L82" t="s">
        <v>47</v>
      </c>
      <c r="M82" t="str">
        <f>_xlfn.XLOOKUP(responses[[#This Row],[plant_types]],plant_info[plant],plant_info[maintenance-requirements])</f>
        <v>low-maintenance</v>
      </c>
      <c r="N82" t="str">
        <f>_xlfn.XLOOKUP(responses[[#This Row],[plant_types]],plant_info[plant],plant_info[toxic])</f>
        <v>safe for pets &amp; children</v>
      </c>
      <c r="O82" t="s">
        <v>126</v>
      </c>
      <c r="P82" t="str">
        <f>_xlfn.XLOOKUP(responses[[#This Row],[reason_for_purchase_free_response]],reason[reason_for_purchase_free_response],reason[reason_for_purchase])</f>
        <v>size</v>
      </c>
      <c r="Q82" t="s">
        <v>17</v>
      </c>
      <c r="R82" t="s">
        <v>39</v>
      </c>
      <c r="S82" t="s">
        <v>25</v>
      </c>
    </row>
    <row r="83" spans="11:19">
      <c r="K83" t="s">
        <v>390</v>
      </c>
      <c r="L83" t="s">
        <v>47</v>
      </c>
      <c r="M83" t="str">
        <f>_xlfn.XLOOKUP(responses[[#This Row],[plant_types]],plant_info[plant],plant_info[maintenance-requirements])</f>
        <v>low-maintenance</v>
      </c>
      <c r="N83" t="str">
        <f>_xlfn.XLOOKUP(responses[[#This Row],[plant_types]],plant_info[plant],plant_info[toxic])</f>
        <v>safe for pets &amp; children</v>
      </c>
      <c r="O83" t="s">
        <v>127</v>
      </c>
      <c r="P83" t="str">
        <f>_xlfn.XLOOKUP(responses[[#This Row],[reason_for_purchase_free_response]],reason[reason_for_purchase_free_response],reason[reason_for_purchase])</f>
        <v>care requirements</v>
      </c>
      <c r="Q83" t="s">
        <v>6</v>
      </c>
      <c r="R83" t="s">
        <v>24</v>
      </c>
      <c r="S83" t="s">
        <v>8</v>
      </c>
    </row>
    <row r="84" spans="11:19">
      <c r="K84" t="s">
        <v>391</v>
      </c>
      <c r="L84" t="s">
        <v>20</v>
      </c>
      <c r="M84" t="str">
        <f>_xlfn.XLOOKUP(responses[[#This Row],[plant_types]],plant_info[plant],plant_info[maintenance-requirements])</f>
        <v>low-maintenance</v>
      </c>
      <c r="N84" t="str">
        <f>_xlfn.XLOOKUP(responses[[#This Row],[plant_types]],plant_info[plant],plant_info[toxic])</f>
        <v>safe for pets &amp; children</v>
      </c>
      <c r="O84" t="s">
        <v>128</v>
      </c>
      <c r="P84" t="str">
        <f>_xlfn.XLOOKUP(responses[[#This Row],[reason_for_purchase_free_response]],reason[reason_for_purchase_free_response],reason[reason_for_purchase])</f>
        <v>care requirements</v>
      </c>
      <c r="Q84" t="s">
        <v>12</v>
      </c>
      <c r="R84" t="s">
        <v>24</v>
      </c>
      <c r="S84" t="s">
        <v>13</v>
      </c>
    </row>
    <row r="85" spans="11:19">
      <c r="K85" t="s">
        <v>392</v>
      </c>
      <c r="L85" t="s">
        <v>30</v>
      </c>
      <c r="M85" t="str">
        <f>_xlfn.XLOOKUP(responses[[#This Row],[plant_types]],plant_info[plant],plant_info[maintenance-requirements])</f>
        <v>low-maintenance</v>
      </c>
      <c r="N85" t="str">
        <f>_xlfn.XLOOKUP(responses[[#This Row],[plant_types]],plant_info[plant],plant_info[toxic])</f>
        <v>safe for pets &amp; children</v>
      </c>
      <c r="O85" t="s">
        <v>129</v>
      </c>
      <c r="P85" t="str">
        <f>_xlfn.XLOOKUP(responses[[#This Row],[reason_for_purchase_free_response]],reason[reason_for_purchase_free_response],reason[reason_for_purchase])</f>
        <v>benefits</v>
      </c>
      <c r="Q85" t="s">
        <v>28</v>
      </c>
      <c r="R85" t="s">
        <v>7</v>
      </c>
      <c r="S85" t="s">
        <v>13</v>
      </c>
    </row>
    <row r="86" spans="11:19">
      <c r="K86" t="s">
        <v>393</v>
      </c>
      <c r="L86" t="s">
        <v>131</v>
      </c>
      <c r="M86" t="str">
        <f>_xlfn.XLOOKUP(responses[[#This Row],[plant_types]],plant_info[plant],plant_info[maintenance-requirements])</f>
        <v>high-maintenance</v>
      </c>
      <c r="N86" t="str">
        <f>_xlfn.XLOOKUP(responses[[#This Row],[plant_types]],plant_info[plant],plant_info[toxic])</f>
        <v>safe for pets &amp; children</v>
      </c>
      <c r="O86" t="s">
        <v>130</v>
      </c>
      <c r="P86" t="str">
        <f>_xlfn.XLOOKUP(responses[[#This Row],[reason_for_purchase_free_response]],reason[reason_for_purchase_free_response],reason[reason_for_purchase])</f>
        <v>rare or unique species</v>
      </c>
      <c r="Q86" t="s">
        <v>28</v>
      </c>
      <c r="R86" t="s">
        <v>7</v>
      </c>
      <c r="S86" t="s">
        <v>13</v>
      </c>
    </row>
    <row r="87" spans="11:19">
      <c r="K87" t="s">
        <v>394</v>
      </c>
      <c r="L87" t="s">
        <v>64</v>
      </c>
      <c r="M87" t="str">
        <f>_xlfn.XLOOKUP(responses[[#This Row],[plant_types]],plant_info[plant],plant_info[maintenance-requirements])</f>
        <v>low-maintenance</v>
      </c>
      <c r="N87" t="str">
        <f>_xlfn.XLOOKUP(responses[[#This Row],[plant_types]],plant_info[plant],plant_info[toxic])</f>
        <v>safe for pets &amp; children</v>
      </c>
      <c r="O87" t="s">
        <v>132</v>
      </c>
      <c r="P87" t="str">
        <f>_xlfn.XLOOKUP(responses[[#This Row],[reason_for_purchase_free_response]],reason[reason_for_purchase_free_response],reason[reason_for_purchase])</f>
        <v>care requirements</v>
      </c>
      <c r="Q87" t="s">
        <v>17</v>
      </c>
      <c r="R87" t="s">
        <v>24</v>
      </c>
      <c r="S87" t="s">
        <v>8</v>
      </c>
    </row>
    <row r="88" spans="11:19">
      <c r="K88" t="s">
        <v>395</v>
      </c>
      <c r="L88" t="s">
        <v>49</v>
      </c>
      <c r="M88" t="str">
        <f>_xlfn.XLOOKUP(responses[[#This Row],[plant_types]],plant_info[plant],plant_info[maintenance-requirements])</f>
        <v>low-maintenance</v>
      </c>
      <c r="N88" t="str">
        <f>_xlfn.XLOOKUP(responses[[#This Row],[plant_types]],plant_info[plant],plant_info[toxic])</f>
        <v>safe for pets &amp; children</v>
      </c>
      <c r="O88" t="s">
        <v>133</v>
      </c>
      <c r="P88" t="str">
        <f>_xlfn.XLOOKUP(responses[[#This Row],[reason_for_purchase_free_response]],reason[reason_for_purchase_free_response],reason[reason_for_purchase])</f>
        <v>rare or unique species</v>
      </c>
      <c r="Q88" t="s">
        <v>28</v>
      </c>
      <c r="R88" t="s">
        <v>7</v>
      </c>
      <c r="S88" t="s">
        <v>25</v>
      </c>
    </row>
    <row r="89" spans="11:19">
      <c r="K89" t="s">
        <v>396</v>
      </c>
      <c r="L89" t="s">
        <v>15</v>
      </c>
      <c r="M89" t="str">
        <f>_xlfn.XLOOKUP(responses[[#This Row],[plant_types]],plant_info[plant],plant_info[maintenance-requirements])</f>
        <v>low-maintenance</v>
      </c>
      <c r="N89" t="str">
        <f>_xlfn.XLOOKUP(responses[[#This Row],[plant_types]],plant_info[plant],plant_info[toxic])</f>
        <v>safe for pets &amp; children</v>
      </c>
      <c r="O89" t="s">
        <v>134</v>
      </c>
      <c r="P89" t="str">
        <f>_xlfn.XLOOKUP(responses[[#This Row],[reason_for_purchase_free_response]],reason[reason_for_purchase_free_response],reason[reason_for_purchase])</f>
        <v>care requirements</v>
      </c>
      <c r="Q89" t="s">
        <v>6</v>
      </c>
      <c r="R89" t="s">
        <v>7</v>
      </c>
      <c r="S89" t="s">
        <v>35</v>
      </c>
    </row>
    <row r="90" spans="11:19">
      <c r="K90" t="s">
        <v>397</v>
      </c>
      <c r="L90" t="s">
        <v>136</v>
      </c>
      <c r="M90" t="str">
        <f>_xlfn.XLOOKUP(responses[[#This Row],[plant_types]],plant_info[plant],plant_info[maintenance-requirements])</f>
        <v>med-maintenance</v>
      </c>
      <c r="N90" t="str">
        <f>_xlfn.XLOOKUP(responses[[#This Row],[plant_types]],plant_info[plant],plant_info[toxic])</f>
        <v>safe for pets &amp; children</v>
      </c>
      <c r="O90" t="s">
        <v>135</v>
      </c>
      <c r="P90" t="str">
        <f>_xlfn.XLOOKUP(responses[[#This Row],[reason_for_purchase_free_response]],reason[reason_for_purchase_free_response],reason[reason_for_purchase])</f>
        <v>pet-friendly or safe for children</v>
      </c>
      <c r="Q90" t="s">
        <v>6</v>
      </c>
      <c r="R90" t="s">
        <v>31</v>
      </c>
      <c r="S90" t="s">
        <v>8</v>
      </c>
    </row>
    <row r="91" spans="11:19">
      <c r="K91" t="s">
        <v>398</v>
      </c>
      <c r="L91" t="s">
        <v>138</v>
      </c>
      <c r="M91" t="str">
        <f>_xlfn.XLOOKUP(responses[[#This Row],[plant_types]],plant_info[plant],plant_info[maintenance-requirements])</f>
        <v>high-maintenance</v>
      </c>
      <c r="N91" t="str">
        <f>_xlfn.XLOOKUP(responses[[#This Row],[plant_types]],plant_info[plant],plant_info[toxic])</f>
        <v>safe for pets &amp; children</v>
      </c>
      <c r="O91" t="s">
        <v>137</v>
      </c>
      <c r="P91" t="str">
        <f>_xlfn.XLOOKUP(responses[[#This Row],[reason_for_purchase_free_response]],reason[reason_for_purchase_free_response],reason[reason_for_purchase])</f>
        <v>care requirements</v>
      </c>
      <c r="Q91" t="s">
        <v>6</v>
      </c>
      <c r="R91" t="s">
        <v>7</v>
      </c>
      <c r="S91" t="s">
        <v>13</v>
      </c>
    </row>
    <row r="92" spans="11:19">
      <c r="K92" t="s">
        <v>399</v>
      </c>
      <c r="L92" t="s">
        <v>47</v>
      </c>
      <c r="M92" t="str">
        <f>_xlfn.XLOOKUP(responses[[#This Row],[plant_types]],plant_info[plant],plant_info[maintenance-requirements])</f>
        <v>low-maintenance</v>
      </c>
      <c r="N92" t="str">
        <f>_xlfn.XLOOKUP(responses[[#This Row],[plant_types]],plant_info[plant],plant_info[toxic])</f>
        <v>safe for pets &amp; children</v>
      </c>
      <c r="O92" t="s">
        <v>139</v>
      </c>
      <c r="P92" t="str">
        <f>_xlfn.XLOOKUP(responses[[#This Row],[reason_for_purchase_free_response]],reason[reason_for_purchase_free_response],reason[reason_for_purchase])</f>
        <v>rare or unique species</v>
      </c>
      <c r="Q92" t="s">
        <v>17</v>
      </c>
      <c r="R92" t="s">
        <v>7</v>
      </c>
      <c r="S92" t="s">
        <v>25</v>
      </c>
    </row>
    <row r="93" spans="11:19">
      <c r="K93" t="s">
        <v>400</v>
      </c>
      <c r="L93" t="s">
        <v>141</v>
      </c>
      <c r="M93" t="str">
        <f>_xlfn.XLOOKUP(responses[[#This Row],[plant_types]],plant_info[plant],plant_info[maintenance-requirements])</f>
        <v>high-maintenance</v>
      </c>
      <c r="N93" t="str">
        <f>_xlfn.XLOOKUP(responses[[#This Row],[plant_types]],plant_info[plant],plant_info[toxic])</f>
        <v>safe for pets &amp; children</v>
      </c>
      <c r="O93" t="s">
        <v>140</v>
      </c>
      <c r="P93" t="str">
        <f>_xlfn.XLOOKUP(responses[[#This Row],[reason_for_purchase_free_response]],reason[reason_for_purchase_free_response],reason[reason_for_purchase])</f>
        <v>care requirements</v>
      </c>
      <c r="Q93" t="s">
        <v>28</v>
      </c>
      <c r="R93" t="s">
        <v>24</v>
      </c>
      <c r="S93" t="s">
        <v>8</v>
      </c>
    </row>
    <row r="94" spans="11:19">
      <c r="K94" t="s">
        <v>401</v>
      </c>
      <c r="L94" t="s">
        <v>41</v>
      </c>
      <c r="M94" t="str">
        <f>_xlfn.XLOOKUP(responses[[#This Row],[plant_types]],plant_info[plant],plant_info[maintenance-requirements])</f>
        <v>low-maintenance</v>
      </c>
      <c r="N94" t="str">
        <f>_xlfn.XLOOKUP(responses[[#This Row],[plant_types]],plant_info[plant],plant_info[toxic])</f>
        <v>safe for pets &amp; children</v>
      </c>
      <c r="O94" t="s">
        <v>142</v>
      </c>
      <c r="P94" t="str">
        <f>_xlfn.XLOOKUP(responses[[#This Row],[reason_for_purchase_free_response]],reason[reason_for_purchase_free_response],reason[reason_for_purchase])</f>
        <v>pet-friendly or safe for children</v>
      </c>
      <c r="Q94" t="s">
        <v>12</v>
      </c>
      <c r="R94" t="s">
        <v>24</v>
      </c>
      <c r="S94" t="s">
        <v>21</v>
      </c>
    </row>
    <row r="95" spans="11:19">
      <c r="K95" t="s">
        <v>402</v>
      </c>
      <c r="L95" t="s">
        <v>10</v>
      </c>
      <c r="M95" t="str">
        <f>_xlfn.XLOOKUP(responses[[#This Row],[plant_types]],plant_info[plant],plant_info[maintenance-requirements])</f>
        <v>low-maintenance</v>
      </c>
      <c r="N95" t="str">
        <f>_xlfn.XLOOKUP(responses[[#This Row],[plant_types]],plant_info[plant],plant_info[toxic])</f>
        <v>safe for pets &amp; children</v>
      </c>
      <c r="O95" t="s">
        <v>143</v>
      </c>
      <c r="P95" t="str">
        <f>_xlfn.XLOOKUP(responses[[#This Row],[reason_for_purchase_free_response]],reason[reason_for_purchase_free_response],reason[reason_for_purchase])</f>
        <v>rare or unique species</v>
      </c>
      <c r="Q95" t="s">
        <v>6</v>
      </c>
      <c r="R95" t="s">
        <v>24</v>
      </c>
      <c r="S95" t="s">
        <v>8</v>
      </c>
    </row>
    <row r="96" spans="11:19">
      <c r="K96" t="s">
        <v>403</v>
      </c>
      <c r="L96" t="s">
        <v>41</v>
      </c>
      <c r="M96" t="str">
        <f>_xlfn.XLOOKUP(responses[[#This Row],[plant_types]],plant_info[plant],plant_info[maintenance-requirements])</f>
        <v>low-maintenance</v>
      </c>
      <c r="N96" t="str">
        <f>_xlfn.XLOOKUP(responses[[#This Row],[plant_types]],plant_info[plant],plant_info[toxic])</f>
        <v>safe for pets &amp; children</v>
      </c>
      <c r="O96" t="s">
        <v>144</v>
      </c>
      <c r="P96" t="str">
        <f>_xlfn.XLOOKUP(responses[[#This Row],[reason_for_purchase_free_response]],reason[reason_for_purchase_free_response],reason[reason_for_purchase])</f>
        <v>rare or unique species</v>
      </c>
      <c r="Q96" t="s">
        <v>6</v>
      </c>
      <c r="R96" t="s">
        <v>18</v>
      </c>
      <c r="S96" t="s">
        <v>8</v>
      </c>
    </row>
    <row r="97" spans="11:19">
      <c r="K97" t="s">
        <v>404</v>
      </c>
      <c r="L97" t="s">
        <v>64</v>
      </c>
      <c r="M97" t="str">
        <f>_xlfn.XLOOKUP(responses[[#This Row],[plant_types]],plant_info[plant],plant_info[maintenance-requirements])</f>
        <v>low-maintenance</v>
      </c>
      <c r="N97" t="str">
        <f>_xlfn.XLOOKUP(responses[[#This Row],[plant_types]],plant_info[plant],plant_info[toxic])</f>
        <v>safe for pets &amp; children</v>
      </c>
      <c r="O97" t="s">
        <v>145</v>
      </c>
      <c r="P97" t="str">
        <f>_xlfn.XLOOKUP(responses[[#This Row],[reason_for_purchase_free_response]],reason[reason_for_purchase_free_response],reason[reason_for_purchase])</f>
        <v>rare or unique species</v>
      </c>
      <c r="Q97" t="s">
        <v>12</v>
      </c>
      <c r="R97" t="s">
        <v>24</v>
      </c>
      <c r="S97" t="s">
        <v>105</v>
      </c>
    </row>
    <row r="98" spans="11:19">
      <c r="K98" t="s">
        <v>405</v>
      </c>
      <c r="L98" t="s">
        <v>47</v>
      </c>
      <c r="M98" t="str">
        <f>_xlfn.XLOOKUP(responses[[#This Row],[plant_types]],plant_info[plant],plant_info[maintenance-requirements])</f>
        <v>low-maintenance</v>
      </c>
      <c r="N98" t="str">
        <f>_xlfn.XLOOKUP(responses[[#This Row],[plant_types]],plant_info[plant],plant_info[toxic])</f>
        <v>safe for pets &amp; children</v>
      </c>
      <c r="O98" t="s">
        <v>146</v>
      </c>
      <c r="P98" t="str">
        <f>_xlfn.XLOOKUP(responses[[#This Row],[reason_for_purchase_free_response]],reason[reason_for_purchase_free_response],reason[reason_for_purchase])</f>
        <v>pet-friendly or safe for children</v>
      </c>
      <c r="Q98" t="s">
        <v>12</v>
      </c>
      <c r="R98" t="s">
        <v>31</v>
      </c>
      <c r="S98" t="s">
        <v>13</v>
      </c>
    </row>
    <row r="99" spans="11:19">
      <c r="K99" t="s">
        <v>406</v>
      </c>
      <c r="L99" t="s">
        <v>15</v>
      </c>
      <c r="M99" t="str">
        <f>_xlfn.XLOOKUP(responses[[#This Row],[plant_types]],plant_info[plant],plant_info[maintenance-requirements])</f>
        <v>low-maintenance</v>
      </c>
      <c r="N99" t="str">
        <f>_xlfn.XLOOKUP(responses[[#This Row],[plant_types]],plant_info[plant],plant_info[toxic])</f>
        <v>safe for pets &amp; children</v>
      </c>
      <c r="O99" t="s">
        <v>147</v>
      </c>
      <c r="P99" t="str">
        <f>_xlfn.XLOOKUP(responses[[#This Row],[reason_for_purchase_free_response]],reason[reason_for_purchase_free_response],reason[reason_for_purchase])</f>
        <v>care requirements</v>
      </c>
      <c r="Q99" t="s">
        <v>28</v>
      </c>
      <c r="R99" t="s">
        <v>7</v>
      </c>
      <c r="S99" t="s">
        <v>13</v>
      </c>
    </row>
    <row r="100" spans="11:19">
      <c r="K100" t="s">
        <v>407</v>
      </c>
      <c r="L100" t="s">
        <v>20</v>
      </c>
      <c r="M100" t="str">
        <f>_xlfn.XLOOKUP(responses[[#This Row],[plant_types]],plant_info[plant],plant_info[maintenance-requirements])</f>
        <v>low-maintenance</v>
      </c>
      <c r="N100" t="str">
        <f>_xlfn.XLOOKUP(responses[[#This Row],[plant_types]],plant_info[plant],plant_info[toxic])</f>
        <v>safe for pets &amp; children</v>
      </c>
      <c r="O100" t="s">
        <v>148</v>
      </c>
      <c r="P100" t="str">
        <f>_xlfn.XLOOKUP(responses[[#This Row],[reason_for_purchase_free_response]],reason[reason_for_purchase_free_response],reason[reason_for_purchase])</f>
        <v>care requirements</v>
      </c>
      <c r="Q100" t="s">
        <v>17</v>
      </c>
      <c r="R100" t="s">
        <v>18</v>
      </c>
      <c r="S100" t="s">
        <v>13</v>
      </c>
    </row>
    <row r="101" spans="11:19">
      <c r="K101" t="s">
        <v>408</v>
      </c>
      <c r="L101" t="s">
        <v>41</v>
      </c>
      <c r="M101" t="str">
        <f>_xlfn.XLOOKUP(responses[[#This Row],[plant_types]],plant_info[plant],plant_info[maintenance-requirements])</f>
        <v>low-maintenance</v>
      </c>
      <c r="N101" t="str">
        <f>_xlfn.XLOOKUP(responses[[#This Row],[plant_types]],plant_info[plant],plant_info[toxic])</f>
        <v>safe for pets &amp; children</v>
      </c>
      <c r="O101" t="s">
        <v>149</v>
      </c>
      <c r="P101" t="str">
        <f>_xlfn.XLOOKUP(responses[[#This Row],[reason_for_purchase_free_response]],reason[reason_for_purchase_free_response],reason[reason_for_purchase])</f>
        <v>benefits</v>
      </c>
      <c r="Q101" t="s">
        <v>12</v>
      </c>
      <c r="R101" t="s">
        <v>18</v>
      </c>
      <c r="S101" t="s">
        <v>13</v>
      </c>
    </row>
    <row r="102" spans="11:19">
      <c r="K102" t="s">
        <v>409</v>
      </c>
      <c r="L102" t="s">
        <v>47</v>
      </c>
      <c r="M102" t="str">
        <f>_xlfn.XLOOKUP(responses[[#This Row],[plant_types]],plant_info[plant],plant_info[maintenance-requirements])</f>
        <v>low-maintenance</v>
      </c>
      <c r="N102" t="str">
        <f>_xlfn.XLOOKUP(responses[[#This Row],[plant_types]],plant_info[plant],plant_info[toxic])</f>
        <v>safe for pets &amp; children</v>
      </c>
      <c r="O102" t="s">
        <v>150</v>
      </c>
      <c r="P102" t="str">
        <f>_xlfn.XLOOKUP(responses[[#This Row],[reason_for_purchase_free_response]],reason[reason_for_purchase_free_response],reason[reason_for_purchase])</f>
        <v>benefits</v>
      </c>
      <c r="Q102" t="s">
        <v>28</v>
      </c>
      <c r="R102" t="s">
        <v>7</v>
      </c>
      <c r="S102" t="s">
        <v>35</v>
      </c>
    </row>
    <row r="103" spans="11:19">
      <c r="K103" t="s">
        <v>410</v>
      </c>
      <c r="L103" t="s">
        <v>15</v>
      </c>
      <c r="M103" t="str">
        <f>_xlfn.XLOOKUP(responses[[#This Row],[plant_types]],plant_info[plant],plant_info[maintenance-requirements])</f>
        <v>low-maintenance</v>
      </c>
      <c r="N103" t="str">
        <f>_xlfn.XLOOKUP(responses[[#This Row],[plant_types]],plant_info[plant],plant_info[toxic])</f>
        <v>safe for pets &amp; children</v>
      </c>
      <c r="O103" t="s">
        <v>151</v>
      </c>
      <c r="P103" t="str">
        <f>_xlfn.XLOOKUP(responses[[#This Row],[reason_for_purchase_free_response]],reason[reason_for_purchase_free_response],reason[reason_for_purchase])</f>
        <v>price</v>
      </c>
      <c r="Q103" t="s">
        <v>12</v>
      </c>
      <c r="R103" t="s">
        <v>7</v>
      </c>
      <c r="S103" t="s">
        <v>25</v>
      </c>
    </row>
    <row r="104" spans="11:19">
      <c r="K104" t="s">
        <v>411</v>
      </c>
      <c r="L104" t="s">
        <v>153</v>
      </c>
      <c r="M104" t="str">
        <f>_xlfn.XLOOKUP(responses[[#This Row],[plant_types]],plant_info[plant],plant_info[maintenance-requirements])</f>
        <v>med-maintenance</v>
      </c>
      <c r="N104" t="str">
        <f>_xlfn.XLOOKUP(responses[[#This Row],[plant_types]],plant_info[plant],plant_info[toxic])</f>
        <v>safe for pets &amp; children</v>
      </c>
      <c r="O104" t="s">
        <v>152</v>
      </c>
      <c r="P104" t="str">
        <f>_xlfn.XLOOKUP(responses[[#This Row],[reason_for_purchase_free_response]],reason[reason_for_purchase_free_response],reason[reason_for_purchase])</f>
        <v>benefits</v>
      </c>
      <c r="Q104" t="s">
        <v>12</v>
      </c>
      <c r="R104" t="s">
        <v>31</v>
      </c>
      <c r="S104" t="s">
        <v>25</v>
      </c>
    </row>
    <row r="105" spans="11:19">
      <c r="K105" t="s">
        <v>412</v>
      </c>
      <c r="L105" t="s">
        <v>47</v>
      </c>
      <c r="M105" t="str">
        <f>_xlfn.XLOOKUP(responses[[#This Row],[plant_types]],plant_info[plant],plant_info[maintenance-requirements])</f>
        <v>low-maintenance</v>
      </c>
      <c r="N105" t="str">
        <f>_xlfn.XLOOKUP(responses[[#This Row],[plant_types]],plant_info[plant],plant_info[toxic])</f>
        <v>safe for pets &amp; children</v>
      </c>
      <c r="O105" t="s">
        <v>154</v>
      </c>
      <c r="P105" t="str">
        <f>_xlfn.XLOOKUP(responses[[#This Row],[reason_for_purchase_free_response]],reason[reason_for_purchase_free_response],reason[reason_for_purchase])</f>
        <v>pet-friendly or safe for children</v>
      </c>
      <c r="Q105" t="s">
        <v>28</v>
      </c>
      <c r="R105" t="s">
        <v>24</v>
      </c>
      <c r="S105" t="s">
        <v>25</v>
      </c>
    </row>
    <row r="106" spans="11:19">
      <c r="K106" t="s">
        <v>413</v>
      </c>
      <c r="L106" t="s">
        <v>30</v>
      </c>
      <c r="M106" t="str">
        <f>_xlfn.XLOOKUP(responses[[#This Row],[plant_types]],plant_info[plant],plant_info[maintenance-requirements])</f>
        <v>low-maintenance</v>
      </c>
      <c r="N106" t="str">
        <f>_xlfn.XLOOKUP(responses[[#This Row],[plant_types]],plant_info[plant],plant_info[toxic])</f>
        <v>safe for pets &amp; children</v>
      </c>
      <c r="O106" t="s">
        <v>155</v>
      </c>
      <c r="P106" t="str">
        <f>_xlfn.XLOOKUP(responses[[#This Row],[reason_for_purchase_free_response]],reason[reason_for_purchase_free_response],reason[reason_for_purchase])</f>
        <v>size</v>
      </c>
      <c r="Q106" t="s">
        <v>6</v>
      </c>
      <c r="R106" t="s">
        <v>31</v>
      </c>
      <c r="S106" t="s">
        <v>25</v>
      </c>
    </row>
    <row r="107" spans="11:19">
      <c r="K107" t="s">
        <v>414</v>
      </c>
      <c r="L107" t="s">
        <v>47</v>
      </c>
      <c r="M107" t="str">
        <f>_xlfn.XLOOKUP(responses[[#This Row],[plant_types]],plant_info[plant],plant_info[maintenance-requirements])</f>
        <v>low-maintenance</v>
      </c>
      <c r="N107" t="str">
        <f>_xlfn.XLOOKUP(responses[[#This Row],[plant_types]],plant_info[plant],plant_info[toxic])</f>
        <v>safe for pets &amp; children</v>
      </c>
      <c r="O107" t="s">
        <v>156</v>
      </c>
      <c r="P107" t="str">
        <f>_xlfn.XLOOKUP(responses[[#This Row],[reason_for_purchase_free_response]],reason[reason_for_purchase_free_response],reason[reason_for_purchase])</f>
        <v>pet-friendly or safe for children</v>
      </c>
      <c r="Q107" t="s">
        <v>17</v>
      </c>
      <c r="R107" t="s">
        <v>18</v>
      </c>
      <c r="S107" t="s">
        <v>13</v>
      </c>
    </row>
    <row r="108" spans="11:19">
      <c r="K108" t="s">
        <v>415</v>
      </c>
      <c r="L108" t="s">
        <v>49</v>
      </c>
      <c r="M108" t="str">
        <f>_xlfn.XLOOKUP(responses[[#This Row],[plant_types]],plant_info[plant],plant_info[maintenance-requirements])</f>
        <v>low-maintenance</v>
      </c>
      <c r="N108" t="str">
        <f>_xlfn.XLOOKUP(responses[[#This Row],[plant_types]],plant_info[plant],plant_info[toxic])</f>
        <v>safe for pets &amp; children</v>
      </c>
      <c r="O108" t="s">
        <v>157</v>
      </c>
      <c r="P108" t="str">
        <f>_xlfn.XLOOKUP(responses[[#This Row],[reason_for_purchase_free_response]],reason[reason_for_purchase_free_response],reason[reason_for_purchase])</f>
        <v>rare or unique species</v>
      </c>
      <c r="Q108" t="s">
        <v>28</v>
      </c>
      <c r="R108" t="s">
        <v>18</v>
      </c>
      <c r="S108" t="s">
        <v>105</v>
      </c>
    </row>
    <row r="109" spans="11:19">
      <c r="K109" t="s">
        <v>416</v>
      </c>
      <c r="L109" t="s">
        <v>20</v>
      </c>
      <c r="M109" t="str">
        <f>_xlfn.XLOOKUP(responses[[#This Row],[plant_types]],plant_info[plant],plant_info[maintenance-requirements])</f>
        <v>low-maintenance</v>
      </c>
      <c r="N109" t="str">
        <f>_xlfn.XLOOKUP(responses[[#This Row],[plant_types]],plant_info[plant],plant_info[toxic])</f>
        <v>safe for pets &amp; children</v>
      </c>
      <c r="O109" t="s">
        <v>158</v>
      </c>
      <c r="P109" t="str">
        <f>_xlfn.XLOOKUP(responses[[#This Row],[reason_for_purchase_free_response]],reason[reason_for_purchase_free_response],reason[reason_for_purchase])</f>
        <v>pet-friendly or safe for children</v>
      </c>
      <c r="Q109" t="s">
        <v>12</v>
      </c>
      <c r="R109" t="s">
        <v>24</v>
      </c>
      <c r="S109" t="s">
        <v>25</v>
      </c>
    </row>
    <row r="110" spans="11:19">
      <c r="K110" t="s">
        <v>417</v>
      </c>
      <c r="L110" t="s">
        <v>10</v>
      </c>
      <c r="M110" t="str">
        <f>_xlfn.XLOOKUP(responses[[#This Row],[plant_types]],plant_info[plant],plant_info[maintenance-requirements])</f>
        <v>low-maintenance</v>
      </c>
      <c r="N110" t="str">
        <f>_xlfn.XLOOKUP(responses[[#This Row],[plant_types]],plant_info[plant],plant_info[toxic])</f>
        <v>safe for pets &amp; children</v>
      </c>
      <c r="O110" t="s">
        <v>159</v>
      </c>
      <c r="P110" t="str">
        <f>_xlfn.XLOOKUP(responses[[#This Row],[reason_for_purchase_free_response]],reason[reason_for_purchase_free_response],reason[reason_for_purchase])</f>
        <v>benefits</v>
      </c>
      <c r="Q110" t="s">
        <v>6</v>
      </c>
      <c r="R110" t="s">
        <v>7</v>
      </c>
      <c r="S110" t="s">
        <v>21</v>
      </c>
    </row>
    <row r="111" spans="11:19">
      <c r="K111" t="s">
        <v>418</v>
      </c>
      <c r="L111" t="s">
        <v>64</v>
      </c>
      <c r="M111" t="str">
        <f>_xlfn.XLOOKUP(responses[[#This Row],[plant_types]],plant_info[plant],plant_info[maintenance-requirements])</f>
        <v>low-maintenance</v>
      </c>
      <c r="N111" t="str">
        <f>_xlfn.XLOOKUP(responses[[#This Row],[plant_types]],plant_info[plant],plant_info[toxic])</f>
        <v>safe for pets &amp; children</v>
      </c>
      <c r="O111" t="s">
        <v>160</v>
      </c>
      <c r="P111" t="str">
        <f>_xlfn.XLOOKUP(responses[[#This Row],[reason_for_purchase_free_response]],reason[reason_for_purchase_free_response],reason[reason_for_purchase])</f>
        <v>pet-friendly or safe for children</v>
      </c>
      <c r="Q111" t="s">
        <v>6</v>
      </c>
      <c r="R111" t="s">
        <v>7</v>
      </c>
      <c r="S111" t="s">
        <v>13</v>
      </c>
    </row>
    <row r="112" spans="11:19">
      <c r="K112" t="s">
        <v>419</v>
      </c>
      <c r="L112" t="s">
        <v>47</v>
      </c>
      <c r="M112" t="str">
        <f>_xlfn.XLOOKUP(responses[[#This Row],[plant_types]],plant_info[plant],plant_info[maintenance-requirements])</f>
        <v>low-maintenance</v>
      </c>
      <c r="N112" t="str">
        <f>_xlfn.XLOOKUP(responses[[#This Row],[plant_types]],plant_info[plant],plant_info[toxic])</f>
        <v>safe for pets &amp; children</v>
      </c>
      <c r="O112" t="s">
        <v>161</v>
      </c>
      <c r="P112" t="str">
        <f>_xlfn.XLOOKUP(responses[[#This Row],[reason_for_purchase_free_response]],reason[reason_for_purchase_free_response],reason[reason_for_purchase])</f>
        <v>pet-friendly or safe for children</v>
      </c>
      <c r="Q112" t="s">
        <v>6</v>
      </c>
      <c r="R112" t="s">
        <v>24</v>
      </c>
      <c r="S112" t="s">
        <v>21</v>
      </c>
    </row>
    <row r="113" spans="11:19">
      <c r="K113" t="s">
        <v>420</v>
      </c>
      <c r="L113" t="s">
        <v>30</v>
      </c>
      <c r="M113" t="str">
        <f>_xlfn.XLOOKUP(responses[[#This Row],[plant_types]],plant_info[plant],plant_info[maintenance-requirements])</f>
        <v>low-maintenance</v>
      </c>
      <c r="N113" t="str">
        <f>_xlfn.XLOOKUP(responses[[#This Row],[plant_types]],plant_info[plant],plant_info[toxic])</f>
        <v>safe for pets &amp; children</v>
      </c>
      <c r="O113" t="s">
        <v>162</v>
      </c>
      <c r="P113" t="str">
        <f>_xlfn.XLOOKUP(responses[[#This Row],[reason_for_purchase_free_response]],reason[reason_for_purchase_free_response],reason[reason_for_purchase])</f>
        <v>pet-friendly or safe for children</v>
      </c>
      <c r="Q113" t="s">
        <v>6</v>
      </c>
      <c r="R113" t="s">
        <v>24</v>
      </c>
      <c r="S113" t="s">
        <v>21</v>
      </c>
    </row>
    <row r="114" spans="11:19">
      <c r="K114" t="s">
        <v>421</v>
      </c>
      <c r="L114" t="s">
        <v>49</v>
      </c>
      <c r="M114" t="str">
        <f>_xlfn.XLOOKUP(responses[[#This Row],[plant_types]],plant_info[plant],plant_info[maintenance-requirements])</f>
        <v>low-maintenance</v>
      </c>
      <c r="N114" t="str">
        <f>_xlfn.XLOOKUP(responses[[#This Row],[plant_types]],plant_info[plant],plant_info[toxic])</f>
        <v>safe for pets &amp; children</v>
      </c>
      <c r="O114" t="s">
        <v>163</v>
      </c>
      <c r="P114" t="str">
        <f>_xlfn.XLOOKUP(responses[[#This Row],[reason_for_purchase_free_response]],reason[reason_for_purchase_free_response],reason[reason_for_purchase])</f>
        <v>benefits</v>
      </c>
      <c r="Q114" t="s">
        <v>6</v>
      </c>
      <c r="R114" t="s">
        <v>18</v>
      </c>
      <c r="S114" t="s">
        <v>13</v>
      </c>
    </row>
    <row r="115" spans="11:19">
      <c r="K115" t="s">
        <v>422</v>
      </c>
      <c r="L115" t="s">
        <v>20</v>
      </c>
      <c r="M115" t="str">
        <f>_xlfn.XLOOKUP(responses[[#This Row],[plant_types]],plant_info[plant],plant_info[maintenance-requirements])</f>
        <v>low-maintenance</v>
      </c>
      <c r="N115" t="str">
        <f>_xlfn.XLOOKUP(responses[[#This Row],[plant_types]],plant_info[plant],plant_info[toxic])</f>
        <v>safe for pets &amp; children</v>
      </c>
      <c r="O115" t="s">
        <v>164</v>
      </c>
      <c r="P115" t="str">
        <f>_xlfn.XLOOKUP(responses[[#This Row],[reason_for_purchase_free_response]],reason[reason_for_purchase_free_response],reason[reason_for_purchase])</f>
        <v>pet-friendly or safe for children</v>
      </c>
      <c r="Q115" t="s">
        <v>12</v>
      </c>
      <c r="R115" t="s">
        <v>7</v>
      </c>
      <c r="S115" t="s">
        <v>13</v>
      </c>
    </row>
    <row r="116" spans="11:19">
      <c r="K116" t="s">
        <v>423</v>
      </c>
      <c r="L116" t="s">
        <v>10</v>
      </c>
      <c r="M116" t="str">
        <f>_xlfn.XLOOKUP(responses[[#This Row],[plant_types]],plant_info[plant],plant_info[maintenance-requirements])</f>
        <v>low-maintenance</v>
      </c>
      <c r="N116" t="str">
        <f>_xlfn.XLOOKUP(responses[[#This Row],[plant_types]],plant_info[plant],plant_info[toxic])</f>
        <v>safe for pets &amp; children</v>
      </c>
      <c r="O116" t="s">
        <v>165</v>
      </c>
      <c r="P116" t="str">
        <f>_xlfn.XLOOKUP(responses[[#This Row],[reason_for_purchase_free_response]],reason[reason_for_purchase_free_response],reason[reason_for_purchase])</f>
        <v>rare or unique species</v>
      </c>
      <c r="Q116" t="s">
        <v>6</v>
      </c>
      <c r="R116" t="s">
        <v>7</v>
      </c>
      <c r="S116" t="s">
        <v>8</v>
      </c>
    </row>
    <row r="117" spans="11:19">
      <c r="K117" t="s">
        <v>424</v>
      </c>
      <c r="L117" t="s">
        <v>20</v>
      </c>
      <c r="M117" t="str">
        <f>_xlfn.XLOOKUP(responses[[#This Row],[plant_types]],plant_info[plant],plant_info[maintenance-requirements])</f>
        <v>low-maintenance</v>
      </c>
      <c r="N117" t="str">
        <f>_xlfn.XLOOKUP(responses[[#This Row],[plant_types]],plant_info[plant],plant_info[toxic])</f>
        <v>safe for pets &amp; children</v>
      </c>
      <c r="O117" t="s">
        <v>166</v>
      </c>
      <c r="P117" t="str">
        <f>_xlfn.XLOOKUP(responses[[#This Row],[reason_for_purchase_free_response]],reason[reason_for_purchase_free_response],reason[reason_for_purchase])</f>
        <v>care requirements</v>
      </c>
      <c r="Q117" t="s">
        <v>28</v>
      </c>
      <c r="R117" t="s">
        <v>24</v>
      </c>
      <c r="S117" t="s">
        <v>25</v>
      </c>
    </row>
    <row r="118" spans="11:19">
      <c r="K118" t="s">
        <v>425</v>
      </c>
      <c r="L118" t="s">
        <v>41</v>
      </c>
      <c r="M118" t="str">
        <f>_xlfn.XLOOKUP(responses[[#This Row],[plant_types]],plant_info[plant],plant_info[maintenance-requirements])</f>
        <v>low-maintenance</v>
      </c>
      <c r="N118" t="str">
        <f>_xlfn.XLOOKUP(responses[[#This Row],[plant_types]],plant_info[plant],plant_info[toxic])</f>
        <v>safe for pets &amp; children</v>
      </c>
      <c r="O118" t="s">
        <v>167</v>
      </c>
      <c r="P118" t="str">
        <f>_xlfn.XLOOKUP(responses[[#This Row],[reason_for_purchase_free_response]],reason[reason_for_purchase_free_response],reason[reason_for_purchase])</f>
        <v>care requirements</v>
      </c>
      <c r="Q118" t="s">
        <v>6</v>
      </c>
      <c r="R118" t="s">
        <v>24</v>
      </c>
      <c r="S118" t="s">
        <v>25</v>
      </c>
    </row>
    <row r="119" spans="11:19">
      <c r="K119" t="s">
        <v>426</v>
      </c>
      <c r="L119" t="s">
        <v>75</v>
      </c>
      <c r="M119" t="str">
        <f>_xlfn.XLOOKUP(responses[[#This Row],[plant_types]],plant_info[plant],plant_info[maintenance-requirements])</f>
        <v>med-maintenance</v>
      </c>
      <c r="N119" t="str">
        <f>_xlfn.XLOOKUP(responses[[#This Row],[plant_types]],plant_info[plant],plant_info[toxic])</f>
        <v>safe for pets &amp; children</v>
      </c>
      <c r="O119" t="s">
        <v>168</v>
      </c>
      <c r="P119" t="str">
        <f>_xlfn.XLOOKUP(responses[[#This Row],[reason_for_purchase_free_response]],reason[reason_for_purchase_free_response],reason[reason_for_purchase])</f>
        <v>rare or unique species</v>
      </c>
      <c r="Q119" t="s">
        <v>12</v>
      </c>
      <c r="R119" t="s">
        <v>31</v>
      </c>
      <c r="S119" t="s">
        <v>8</v>
      </c>
    </row>
    <row r="120" spans="11:19">
      <c r="K120" t="s">
        <v>427</v>
      </c>
      <c r="L120" t="s">
        <v>30</v>
      </c>
      <c r="M120" t="str">
        <f>_xlfn.XLOOKUP(responses[[#This Row],[plant_types]],plant_info[plant],plant_info[maintenance-requirements])</f>
        <v>low-maintenance</v>
      </c>
      <c r="N120" t="str">
        <f>_xlfn.XLOOKUP(responses[[#This Row],[plant_types]],plant_info[plant],plant_info[toxic])</f>
        <v>safe for pets &amp; children</v>
      </c>
      <c r="O120" t="s">
        <v>169</v>
      </c>
      <c r="P120" t="str">
        <f>_xlfn.XLOOKUP(responses[[#This Row],[reason_for_purchase_free_response]],reason[reason_for_purchase_free_response],reason[reason_for_purchase])</f>
        <v>care requirements</v>
      </c>
      <c r="Q120" t="s">
        <v>17</v>
      </c>
      <c r="R120" t="s">
        <v>7</v>
      </c>
      <c r="S120" t="s">
        <v>8</v>
      </c>
    </row>
    <row r="121" spans="11:19">
      <c r="K121" t="s">
        <v>428</v>
      </c>
      <c r="L121" t="s">
        <v>153</v>
      </c>
      <c r="M121" t="str">
        <f>_xlfn.XLOOKUP(responses[[#This Row],[plant_types]],plant_info[plant],plant_info[maintenance-requirements])</f>
        <v>med-maintenance</v>
      </c>
      <c r="N121" t="str">
        <f>_xlfn.XLOOKUP(responses[[#This Row],[plant_types]],plant_info[plant],plant_info[toxic])</f>
        <v>safe for pets &amp; children</v>
      </c>
      <c r="O121" t="s">
        <v>170</v>
      </c>
      <c r="P121" t="str">
        <f>_xlfn.XLOOKUP(responses[[#This Row],[reason_for_purchase_free_response]],reason[reason_for_purchase_free_response],reason[reason_for_purchase])</f>
        <v>rare or unique species</v>
      </c>
      <c r="Q121" t="s">
        <v>28</v>
      </c>
      <c r="R121" t="s">
        <v>18</v>
      </c>
      <c r="S121" t="s">
        <v>8</v>
      </c>
    </row>
    <row r="122" spans="11:19">
      <c r="K122" t="s">
        <v>429</v>
      </c>
      <c r="L122" t="s">
        <v>64</v>
      </c>
      <c r="M122" t="str">
        <f>_xlfn.XLOOKUP(responses[[#This Row],[plant_types]],plant_info[plant],plant_info[maintenance-requirements])</f>
        <v>low-maintenance</v>
      </c>
      <c r="N122" t="str">
        <f>_xlfn.XLOOKUP(responses[[#This Row],[plant_types]],plant_info[plant],plant_info[toxic])</f>
        <v>safe for pets &amp; children</v>
      </c>
      <c r="O122" t="s">
        <v>172</v>
      </c>
      <c r="P122" t="str">
        <f>_xlfn.XLOOKUP(responses[[#This Row],[reason_for_purchase_free_response]],reason[reason_for_purchase_free_response],reason[reason_for_purchase])</f>
        <v>pet-friendly or safe for children</v>
      </c>
      <c r="Q122" t="s">
        <v>171</v>
      </c>
      <c r="R122" t="s">
        <v>7</v>
      </c>
      <c r="S122" t="s">
        <v>8</v>
      </c>
    </row>
    <row r="123" spans="11:19">
      <c r="K123" t="s">
        <v>430</v>
      </c>
      <c r="L123" t="s">
        <v>49</v>
      </c>
      <c r="M123" t="str">
        <f>_xlfn.XLOOKUP(responses[[#This Row],[plant_types]],plant_info[plant],plant_info[maintenance-requirements])</f>
        <v>low-maintenance</v>
      </c>
      <c r="N123" t="str">
        <f>_xlfn.XLOOKUP(responses[[#This Row],[plant_types]],plant_info[plant],plant_info[toxic])</f>
        <v>safe for pets &amp; children</v>
      </c>
      <c r="O123" t="s">
        <v>173</v>
      </c>
      <c r="P123" t="str">
        <f>_xlfn.XLOOKUP(responses[[#This Row],[reason_for_purchase_free_response]],reason[reason_for_purchase_free_response],reason[reason_for_purchase])</f>
        <v>benefits</v>
      </c>
      <c r="Q123" t="s">
        <v>6</v>
      </c>
      <c r="R123" t="s">
        <v>24</v>
      </c>
      <c r="S123" t="s">
        <v>8</v>
      </c>
    </row>
    <row r="124" spans="11:19">
      <c r="K124" t="s">
        <v>431</v>
      </c>
      <c r="L124" t="s">
        <v>64</v>
      </c>
      <c r="M124" t="str">
        <f>_xlfn.XLOOKUP(responses[[#This Row],[plant_types]],plant_info[plant],plant_info[maintenance-requirements])</f>
        <v>low-maintenance</v>
      </c>
      <c r="N124" t="str">
        <f>_xlfn.XLOOKUP(responses[[#This Row],[plant_types]],plant_info[plant],plant_info[toxic])</f>
        <v>safe for pets &amp; children</v>
      </c>
      <c r="O124" t="s">
        <v>174</v>
      </c>
      <c r="P124" t="str">
        <f>_xlfn.XLOOKUP(responses[[#This Row],[reason_for_purchase_free_response]],reason[reason_for_purchase_free_response],reason[reason_for_purchase])</f>
        <v>care requirements</v>
      </c>
      <c r="Q124" t="s">
        <v>12</v>
      </c>
      <c r="R124" t="s">
        <v>18</v>
      </c>
      <c r="S124" t="s">
        <v>8</v>
      </c>
    </row>
    <row r="125" spans="11:19">
      <c r="K125" t="s">
        <v>432</v>
      </c>
      <c r="L125" t="s">
        <v>33</v>
      </c>
      <c r="M125" t="str">
        <f>_xlfn.XLOOKUP(responses[[#This Row],[plant_types]],plant_info[plant],plant_info[maintenance-requirements])</f>
        <v>med-maintenance</v>
      </c>
      <c r="N125" t="str">
        <f>_xlfn.XLOOKUP(responses[[#This Row],[plant_types]],plant_info[plant],plant_info[toxic])</f>
        <v>safe for pets &amp; children</v>
      </c>
      <c r="O125" t="s">
        <v>175</v>
      </c>
      <c r="P125" t="str">
        <f>_xlfn.XLOOKUP(responses[[#This Row],[reason_for_purchase_free_response]],reason[reason_for_purchase_free_response],reason[reason_for_purchase])</f>
        <v>rare or unique species</v>
      </c>
      <c r="Q125" t="s">
        <v>28</v>
      </c>
      <c r="R125" t="s">
        <v>18</v>
      </c>
      <c r="S125" t="s">
        <v>21</v>
      </c>
    </row>
    <row r="126" spans="11:19">
      <c r="K126" t="s">
        <v>433</v>
      </c>
      <c r="L126" t="s">
        <v>20</v>
      </c>
      <c r="M126" t="str">
        <f>_xlfn.XLOOKUP(responses[[#This Row],[plant_types]],plant_info[plant],plant_info[maintenance-requirements])</f>
        <v>low-maintenance</v>
      </c>
      <c r="N126" t="str">
        <f>_xlfn.XLOOKUP(responses[[#This Row],[plant_types]],plant_info[plant],plant_info[toxic])</f>
        <v>safe for pets &amp; children</v>
      </c>
      <c r="O126" t="s">
        <v>176</v>
      </c>
      <c r="P126" t="str">
        <f>_xlfn.XLOOKUP(responses[[#This Row],[reason_for_purchase_free_response]],reason[reason_for_purchase_free_response],reason[reason_for_purchase])</f>
        <v>care requirements</v>
      </c>
      <c r="Q126" t="s">
        <v>6</v>
      </c>
      <c r="R126" t="s">
        <v>7</v>
      </c>
      <c r="S126" t="s">
        <v>13</v>
      </c>
    </row>
    <row r="127" spans="11:19">
      <c r="K127" t="s">
        <v>434</v>
      </c>
      <c r="L127" t="s">
        <v>51</v>
      </c>
      <c r="M127" t="str">
        <f>_xlfn.XLOOKUP(responses[[#This Row],[plant_types]],plant_info[plant],plant_info[maintenance-requirements])</f>
        <v>med-maintenance</v>
      </c>
      <c r="N127" t="str">
        <f>_xlfn.XLOOKUP(responses[[#This Row],[plant_types]],plant_info[plant],plant_info[toxic])</f>
        <v>safe for pets &amp; children</v>
      </c>
      <c r="O127" t="s">
        <v>177</v>
      </c>
      <c r="P127" t="str">
        <f>_xlfn.XLOOKUP(responses[[#This Row],[reason_for_purchase_free_response]],reason[reason_for_purchase_free_response],reason[reason_for_purchase])</f>
        <v>size</v>
      </c>
      <c r="Q127" t="s">
        <v>28</v>
      </c>
      <c r="R127" t="s">
        <v>7</v>
      </c>
      <c r="S127" t="s">
        <v>13</v>
      </c>
    </row>
    <row r="128" spans="11:19">
      <c r="K128" t="s">
        <v>435</v>
      </c>
      <c r="L128" t="s">
        <v>30</v>
      </c>
      <c r="M128" t="str">
        <f>_xlfn.XLOOKUP(responses[[#This Row],[plant_types]],plant_info[plant],plant_info[maintenance-requirements])</f>
        <v>low-maintenance</v>
      </c>
      <c r="N128" t="str">
        <f>_xlfn.XLOOKUP(responses[[#This Row],[plant_types]],plant_info[plant],plant_info[toxic])</f>
        <v>safe for pets &amp; children</v>
      </c>
      <c r="O128" t="s">
        <v>178</v>
      </c>
      <c r="P128" t="str">
        <f>_xlfn.XLOOKUP(responses[[#This Row],[reason_for_purchase_free_response]],reason[reason_for_purchase_free_response],reason[reason_for_purchase])</f>
        <v>care requirements</v>
      </c>
      <c r="Q128" t="s">
        <v>6</v>
      </c>
      <c r="R128" t="s">
        <v>24</v>
      </c>
      <c r="S128" t="s">
        <v>8</v>
      </c>
    </row>
    <row r="129" spans="11:19">
      <c r="K129" t="s">
        <v>436</v>
      </c>
      <c r="L129" t="s">
        <v>30</v>
      </c>
      <c r="M129" t="str">
        <f>_xlfn.XLOOKUP(responses[[#This Row],[plant_types]],plant_info[plant],plant_info[maintenance-requirements])</f>
        <v>low-maintenance</v>
      </c>
      <c r="N129" t="str">
        <f>_xlfn.XLOOKUP(responses[[#This Row],[plant_types]],plant_info[plant],plant_info[toxic])</f>
        <v>safe for pets &amp; children</v>
      </c>
      <c r="O129" t="s">
        <v>179</v>
      </c>
      <c r="P129" t="str">
        <f>_xlfn.XLOOKUP(responses[[#This Row],[reason_for_purchase_free_response]],reason[reason_for_purchase_free_response],reason[reason_for_purchase])</f>
        <v>rare or unique species</v>
      </c>
      <c r="Q129" t="s">
        <v>6</v>
      </c>
      <c r="R129" t="s">
        <v>31</v>
      </c>
      <c r="S129" t="s">
        <v>21</v>
      </c>
    </row>
    <row r="130" spans="11:19">
      <c r="K130" t="s">
        <v>437</v>
      </c>
      <c r="L130" t="s">
        <v>30</v>
      </c>
      <c r="M130" t="str">
        <f>_xlfn.XLOOKUP(responses[[#This Row],[plant_types]],plant_info[plant],plant_info[maintenance-requirements])</f>
        <v>low-maintenance</v>
      </c>
      <c r="N130" t="str">
        <f>_xlfn.XLOOKUP(responses[[#This Row],[plant_types]],plant_info[plant],plant_info[toxic])</f>
        <v>safe for pets &amp; children</v>
      </c>
      <c r="O130" t="s">
        <v>180</v>
      </c>
      <c r="P130" t="str">
        <f>_xlfn.XLOOKUP(responses[[#This Row],[reason_for_purchase_free_response]],reason[reason_for_purchase_free_response],reason[reason_for_purchase])</f>
        <v>benefits</v>
      </c>
      <c r="Q130" t="s">
        <v>28</v>
      </c>
      <c r="R130" t="s">
        <v>18</v>
      </c>
      <c r="S130" t="s">
        <v>8</v>
      </c>
    </row>
    <row r="131" spans="11:19">
      <c r="K131" t="s">
        <v>438</v>
      </c>
      <c r="L131" t="s">
        <v>20</v>
      </c>
      <c r="M131" t="str">
        <f>_xlfn.XLOOKUP(responses[[#This Row],[plant_types]],plant_info[plant],plant_info[maintenance-requirements])</f>
        <v>low-maintenance</v>
      </c>
      <c r="N131" t="str">
        <f>_xlfn.XLOOKUP(responses[[#This Row],[plant_types]],plant_info[plant],plant_info[toxic])</f>
        <v>safe for pets &amp; children</v>
      </c>
      <c r="O131" t="s">
        <v>181</v>
      </c>
      <c r="P131" t="str">
        <f>_xlfn.XLOOKUP(responses[[#This Row],[reason_for_purchase_free_response]],reason[reason_for_purchase_free_response],reason[reason_for_purchase])</f>
        <v>care requirements</v>
      </c>
      <c r="Q131" t="s">
        <v>6</v>
      </c>
      <c r="R131" t="s">
        <v>18</v>
      </c>
      <c r="S131" t="s">
        <v>8</v>
      </c>
    </row>
    <row r="132" spans="11:19">
      <c r="K132" t="s">
        <v>439</v>
      </c>
      <c r="L132" t="s">
        <v>183</v>
      </c>
      <c r="M132" t="str">
        <f>_xlfn.XLOOKUP(responses[[#This Row],[plant_types]],plant_info[plant],plant_info[maintenance-requirements])</f>
        <v>med-maintenance</v>
      </c>
      <c r="N132" t="str">
        <f>_xlfn.XLOOKUP(responses[[#This Row],[plant_types]],plant_info[plant],plant_info[toxic])</f>
        <v>safe for pets &amp; children</v>
      </c>
      <c r="O132" t="s">
        <v>182</v>
      </c>
      <c r="P132" t="str">
        <f>_xlfn.XLOOKUP(responses[[#This Row],[reason_for_purchase_free_response]],reason[reason_for_purchase_free_response],reason[reason_for_purchase])</f>
        <v>pet-friendly or safe for children</v>
      </c>
      <c r="Q132" t="s">
        <v>28</v>
      </c>
      <c r="R132" t="s">
        <v>7</v>
      </c>
      <c r="S132" t="s">
        <v>8</v>
      </c>
    </row>
    <row r="133" spans="11:19">
      <c r="K133" t="s">
        <v>440</v>
      </c>
      <c r="L133" t="s">
        <v>47</v>
      </c>
      <c r="M133" t="str">
        <f>_xlfn.XLOOKUP(responses[[#This Row],[plant_types]],plant_info[plant],plant_info[maintenance-requirements])</f>
        <v>low-maintenance</v>
      </c>
      <c r="N133" t="str">
        <f>_xlfn.XLOOKUP(responses[[#This Row],[plant_types]],plant_info[plant],plant_info[toxic])</f>
        <v>safe for pets &amp; children</v>
      </c>
      <c r="O133" t="s">
        <v>184</v>
      </c>
      <c r="P133" t="str">
        <f>_xlfn.XLOOKUP(responses[[#This Row],[reason_for_purchase_free_response]],reason[reason_for_purchase_free_response],reason[reason_for_purchase])</f>
        <v>pet-friendly or safe for children</v>
      </c>
      <c r="Q133" t="s">
        <v>12</v>
      </c>
      <c r="R133" t="s">
        <v>7</v>
      </c>
      <c r="S133" t="s">
        <v>13</v>
      </c>
    </row>
    <row r="134" spans="11:19">
      <c r="K134" t="s">
        <v>441</v>
      </c>
      <c r="L134" t="s">
        <v>64</v>
      </c>
      <c r="M134" t="str">
        <f>_xlfn.XLOOKUP(responses[[#This Row],[plant_types]],plant_info[plant],plant_info[maintenance-requirements])</f>
        <v>low-maintenance</v>
      </c>
      <c r="N134" t="str">
        <f>_xlfn.XLOOKUP(responses[[#This Row],[plant_types]],plant_info[plant],plant_info[toxic])</f>
        <v>safe for pets &amp; children</v>
      </c>
      <c r="O134" t="s">
        <v>185</v>
      </c>
      <c r="P134" t="str">
        <f>_xlfn.XLOOKUP(responses[[#This Row],[reason_for_purchase_free_response]],reason[reason_for_purchase_free_response],reason[reason_for_purchase])</f>
        <v>benefits</v>
      </c>
      <c r="Q134" t="s">
        <v>28</v>
      </c>
      <c r="R134" t="s">
        <v>18</v>
      </c>
      <c r="S134" t="s">
        <v>8</v>
      </c>
    </row>
    <row r="135" spans="11:19">
      <c r="K135" t="s">
        <v>442</v>
      </c>
      <c r="L135" t="s">
        <v>64</v>
      </c>
      <c r="M135" t="str">
        <f>_xlfn.XLOOKUP(responses[[#This Row],[plant_types]],plant_info[plant],plant_info[maintenance-requirements])</f>
        <v>low-maintenance</v>
      </c>
      <c r="N135" t="str">
        <f>_xlfn.XLOOKUP(responses[[#This Row],[plant_types]],plant_info[plant],plant_info[toxic])</f>
        <v>safe for pets &amp; children</v>
      </c>
      <c r="O135" t="s">
        <v>186</v>
      </c>
      <c r="P135" t="str">
        <f>_xlfn.XLOOKUP(responses[[#This Row],[reason_for_purchase_free_response]],reason[reason_for_purchase_free_response],reason[reason_for_purchase])</f>
        <v>size</v>
      </c>
      <c r="Q135" t="s">
        <v>6</v>
      </c>
      <c r="R135" t="s">
        <v>18</v>
      </c>
      <c r="S135" t="s">
        <v>105</v>
      </c>
    </row>
    <row r="136" spans="11:19">
      <c r="K136" t="s">
        <v>443</v>
      </c>
      <c r="L136" t="s">
        <v>49</v>
      </c>
      <c r="M136" t="str">
        <f>_xlfn.XLOOKUP(responses[[#This Row],[plant_types]],plant_info[plant],plant_info[maintenance-requirements])</f>
        <v>low-maintenance</v>
      </c>
      <c r="N136" t="str">
        <f>_xlfn.XLOOKUP(responses[[#This Row],[plant_types]],plant_info[plant],plant_info[toxic])</f>
        <v>safe for pets &amp; children</v>
      </c>
      <c r="O136" t="s">
        <v>187</v>
      </c>
      <c r="P136" t="str">
        <f>_xlfn.XLOOKUP(responses[[#This Row],[reason_for_purchase_free_response]],reason[reason_for_purchase_free_response],reason[reason_for_purchase])</f>
        <v>care requirements</v>
      </c>
      <c r="Q136" t="s">
        <v>28</v>
      </c>
      <c r="R136" t="s">
        <v>24</v>
      </c>
      <c r="S136" t="s">
        <v>25</v>
      </c>
    </row>
    <row r="137" spans="11:19">
      <c r="K137" t="s">
        <v>444</v>
      </c>
      <c r="L137" t="s">
        <v>64</v>
      </c>
      <c r="M137" t="str">
        <f>_xlfn.XLOOKUP(responses[[#This Row],[plant_types]],plant_info[plant],plant_info[maintenance-requirements])</f>
        <v>low-maintenance</v>
      </c>
      <c r="N137" t="str">
        <f>_xlfn.XLOOKUP(responses[[#This Row],[plant_types]],plant_info[plant],plant_info[toxic])</f>
        <v>safe for pets &amp; children</v>
      </c>
      <c r="O137" t="s">
        <v>188</v>
      </c>
      <c r="P137" t="str">
        <f>_xlfn.XLOOKUP(responses[[#This Row],[reason_for_purchase_free_response]],reason[reason_for_purchase_free_response],reason[reason_for_purchase])</f>
        <v>care requirements</v>
      </c>
      <c r="Q137" t="s">
        <v>12</v>
      </c>
      <c r="R137" t="s">
        <v>18</v>
      </c>
      <c r="S137" t="s">
        <v>25</v>
      </c>
    </row>
    <row r="138" spans="11:19">
      <c r="K138" t="s">
        <v>445</v>
      </c>
      <c r="L138" t="s">
        <v>64</v>
      </c>
      <c r="M138" t="str">
        <f>_xlfn.XLOOKUP(responses[[#This Row],[plant_types]],plant_info[plant],plant_info[maintenance-requirements])</f>
        <v>low-maintenance</v>
      </c>
      <c r="N138" t="str">
        <f>_xlfn.XLOOKUP(responses[[#This Row],[plant_types]],plant_info[plant],plant_info[toxic])</f>
        <v>safe for pets &amp; children</v>
      </c>
      <c r="O138" t="s">
        <v>189</v>
      </c>
      <c r="P138" t="str">
        <f>_xlfn.XLOOKUP(responses[[#This Row],[reason_for_purchase_free_response]],reason[reason_for_purchase_free_response],reason[reason_for_purchase])</f>
        <v>pet-friendly or safe for children</v>
      </c>
      <c r="Q138" t="s">
        <v>12</v>
      </c>
      <c r="R138" t="s">
        <v>7</v>
      </c>
      <c r="S138" t="s">
        <v>25</v>
      </c>
    </row>
    <row r="139" spans="11:19">
      <c r="K139" t="s">
        <v>446</v>
      </c>
      <c r="L139" t="s">
        <v>30</v>
      </c>
      <c r="M139" t="str">
        <f>_xlfn.XLOOKUP(responses[[#This Row],[plant_types]],plant_info[plant],plant_info[maintenance-requirements])</f>
        <v>low-maintenance</v>
      </c>
      <c r="N139" t="str">
        <f>_xlfn.XLOOKUP(responses[[#This Row],[plant_types]],plant_info[plant],plant_info[toxic])</f>
        <v>safe for pets &amp; children</v>
      </c>
      <c r="O139" t="s">
        <v>190</v>
      </c>
      <c r="P139" t="str">
        <f>_xlfn.XLOOKUP(responses[[#This Row],[reason_for_purchase_free_response]],reason[reason_for_purchase_free_response],reason[reason_for_purchase])</f>
        <v>size</v>
      </c>
      <c r="Q139" t="s">
        <v>6</v>
      </c>
      <c r="R139" t="s">
        <v>24</v>
      </c>
      <c r="S139" t="s">
        <v>8</v>
      </c>
    </row>
    <row r="140" spans="11:19">
      <c r="K140" t="s">
        <v>447</v>
      </c>
      <c r="L140" t="s">
        <v>15</v>
      </c>
      <c r="M140" t="str">
        <f>_xlfn.XLOOKUP(responses[[#This Row],[plant_types]],plant_info[plant],plant_info[maintenance-requirements])</f>
        <v>low-maintenance</v>
      </c>
      <c r="N140" t="str">
        <f>_xlfn.XLOOKUP(responses[[#This Row],[plant_types]],plant_info[plant],plant_info[toxic])</f>
        <v>safe for pets &amp; children</v>
      </c>
      <c r="O140" t="s">
        <v>191</v>
      </c>
      <c r="P140" t="str">
        <f>_xlfn.XLOOKUP(responses[[#This Row],[reason_for_purchase_free_response]],reason[reason_for_purchase_free_response],reason[reason_for_purchase])</f>
        <v>pet-friendly or safe for children</v>
      </c>
      <c r="Q140" t="s">
        <v>17</v>
      </c>
      <c r="R140" t="s">
        <v>7</v>
      </c>
      <c r="S140" t="s">
        <v>8</v>
      </c>
    </row>
    <row r="141" spans="11:19">
      <c r="K141" t="s">
        <v>448</v>
      </c>
      <c r="L141" t="s">
        <v>15</v>
      </c>
      <c r="M141" t="str">
        <f>_xlfn.XLOOKUP(responses[[#This Row],[plant_types]],plant_info[plant],plant_info[maintenance-requirements])</f>
        <v>low-maintenance</v>
      </c>
      <c r="N141" t="str">
        <f>_xlfn.XLOOKUP(responses[[#This Row],[plant_types]],plant_info[plant],plant_info[toxic])</f>
        <v>safe for pets &amp; children</v>
      </c>
      <c r="O141" t="s">
        <v>192</v>
      </c>
      <c r="P141" t="str">
        <f>_xlfn.XLOOKUP(responses[[#This Row],[reason_for_purchase_free_response]],reason[reason_for_purchase_free_response],reason[reason_for_purchase])</f>
        <v>pet-friendly or safe for children</v>
      </c>
      <c r="Q141" t="s">
        <v>28</v>
      </c>
      <c r="R141" t="s">
        <v>7</v>
      </c>
      <c r="S141" t="s">
        <v>105</v>
      </c>
    </row>
    <row r="142" spans="11:19">
      <c r="K142" t="s">
        <v>449</v>
      </c>
      <c r="L142" t="s">
        <v>20</v>
      </c>
      <c r="M142" t="str">
        <f>_xlfn.XLOOKUP(responses[[#This Row],[plant_types]],plant_info[plant],plant_info[maintenance-requirements])</f>
        <v>low-maintenance</v>
      </c>
      <c r="N142" t="str">
        <f>_xlfn.XLOOKUP(responses[[#This Row],[plant_types]],plant_info[plant],plant_info[toxic])</f>
        <v>safe for pets &amp; children</v>
      </c>
      <c r="O142" t="s">
        <v>193</v>
      </c>
      <c r="P142" t="str">
        <f>_xlfn.XLOOKUP(responses[[#This Row],[reason_for_purchase_free_response]],reason[reason_for_purchase_free_response],reason[reason_for_purchase])</f>
        <v>rare or unique species</v>
      </c>
      <c r="Q142" t="s">
        <v>12</v>
      </c>
      <c r="R142" t="s">
        <v>24</v>
      </c>
      <c r="S142" t="s">
        <v>13</v>
      </c>
    </row>
    <row r="143" spans="11:19">
      <c r="K143" t="s">
        <v>450</v>
      </c>
      <c r="L143" t="s">
        <v>10</v>
      </c>
      <c r="M143" t="str">
        <f>_xlfn.XLOOKUP(responses[[#This Row],[plant_types]],plant_info[plant],plant_info[maintenance-requirements])</f>
        <v>low-maintenance</v>
      </c>
      <c r="N143" t="str">
        <f>_xlfn.XLOOKUP(responses[[#This Row],[plant_types]],plant_info[plant],plant_info[toxic])</f>
        <v>safe for pets &amp; children</v>
      </c>
      <c r="O143" t="s">
        <v>194</v>
      </c>
      <c r="P143" t="str">
        <f>_xlfn.XLOOKUP(responses[[#This Row],[reason_for_purchase_free_response]],reason[reason_for_purchase_free_response],reason[reason_for_purchase])</f>
        <v>pet-friendly or safe for children</v>
      </c>
      <c r="Q143" t="s">
        <v>6</v>
      </c>
      <c r="R143" t="s">
        <v>39</v>
      </c>
      <c r="S143" t="s">
        <v>21</v>
      </c>
    </row>
    <row r="144" spans="11:19">
      <c r="K144" t="s">
        <v>451</v>
      </c>
      <c r="L144" t="s">
        <v>121</v>
      </c>
      <c r="M144" t="str">
        <f>_xlfn.XLOOKUP(responses[[#This Row],[plant_types]],plant_info[plant],plant_info[maintenance-requirements])</f>
        <v>high-maintenance</v>
      </c>
      <c r="N144" t="str">
        <f>_xlfn.XLOOKUP(responses[[#This Row],[plant_types]],plant_info[plant],plant_info[toxic])</f>
        <v>safe for pets &amp; children</v>
      </c>
      <c r="O144" t="s">
        <v>195</v>
      </c>
      <c r="P144" t="str">
        <f>_xlfn.XLOOKUP(responses[[#This Row],[reason_for_purchase_free_response]],reason[reason_for_purchase_free_response],reason[reason_for_purchase])</f>
        <v>care requirements</v>
      </c>
      <c r="Q144" t="s">
        <v>17</v>
      </c>
      <c r="R144" t="s">
        <v>7</v>
      </c>
      <c r="S144" t="s">
        <v>21</v>
      </c>
    </row>
    <row r="145" spans="11:19">
      <c r="K145" t="s">
        <v>452</v>
      </c>
      <c r="L145" t="s">
        <v>15</v>
      </c>
      <c r="M145" t="str">
        <f>_xlfn.XLOOKUP(responses[[#This Row],[plant_types]],plant_info[plant],plant_info[maintenance-requirements])</f>
        <v>low-maintenance</v>
      </c>
      <c r="N145" t="str">
        <f>_xlfn.XLOOKUP(responses[[#This Row],[plant_types]],plant_info[plant],plant_info[toxic])</f>
        <v>safe for pets &amp; children</v>
      </c>
      <c r="O145" t="s">
        <v>196</v>
      </c>
      <c r="P145" t="str">
        <f>_xlfn.XLOOKUP(responses[[#This Row],[reason_for_purchase_free_response]],reason[reason_for_purchase_free_response],reason[reason_for_purchase])</f>
        <v>care requirements</v>
      </c>
      <c r="Q145" t="s">
        <v>12</v>
      </c>
      <c r="R145" t="s">
        <v>18</v>
      </c>
      <c r="S145" t="s">
        <v>8</v>
      </c>
    </row>
    <row r="146" spans="11:19">
      <c r="K146" t="s">
        <v>453</v>
      </c>
      <c r="L146" t="s">
        <v>41</v>
      </c>
      <c r="M146" t="str">
        <f>_xlfn.XLOOKUP(responses[[#This Row],[plant_types]],plant_info[plant],plant_info[maintenance-requirements])</f>
        <v>low-maintenance</v>
      </c>
      <c r="N146" t="str">
        <f>_xlfn.XLOOKUP(responses[[#This Row],[plant_types]],plant_info[plant],plant_info[toxic])</f>
        <v>safe for pets &amp; children</v>
      </c>
      <c r="O146" t="s">
        <v>197</v>
      </c>
      <c r="P146" t="str">
        <f>_xlfn.XLOOKUP(responses[[#This Row],[reason_for_purchase_free_response]],reason[reason_for_purchase_free_response],reason[reason_for_purchase])</f>
        <v>rare or unique species</v>
      </c>
      <c r="Q146" t="s">
        <v>6</v>
      </c>
      <c r="R146" t="s">
        <v>24</v>
      </c>
      <c r="S146" t="s">
        <v>8</v>
      </c>
    </row>
    <row r="147" spans="11:19">
      <c r="K147" t="s">
        <v>454</v>
      </c>
      <c r="L147" t="s">
        <v>10</v>
      </c>
      <c r="M147" t="str">
        <f>_xlfn.XLOOKUP(responses[[#This Row],[plant_types]],plant_info[plant],plant_info[maintenance-requirements])</f>
        <v>low-maintenance</v>
      </c>
      <c r="N147" t="str">
        <f>_xlfn.XLOOKUP(responses[[#This Row],[plant_types]],plant_info[plant],plant_info[toxic])</f>
        <v>safe for pets &amp; children</v>
      </c>
      <c r="O147" t="s">
        <v>198</v>
      </c>
      <c r="P147" t="str">
        <f>_xlfn.XLOOKUP(responses[[#This Row],[reason_for_purchase_free_response]],reason[reason_for_purchase_free_response],reason[reason_for_purchase])</f>
        <v>benefits</v>
      </c>
      <c r="Q147" t="s">
        <v>6</v>
      </c>
      <c r="R147" t="s">
        <v>31</v>
      </c>
      <c r="S147" t="s">
        <v>25</v>
      </c>
    </row>
    <row r="148" spans="11:19">
      <c r="K148" t="s">
        <v>455</v>
      </c>
      <c r="L148" t="s">
        <v>30</v>
      </c>
      <c r="M148" t="str">
        <f>_xlfn.XLOOKUP(responses[[#This Row],[plant_types]],plant_info[plant],plant_info[maintenance-requirements])</f>
        <v>low-maintenance</v>
      </c>
      <c r="N148" t="str">
        <f>_xlfn.XLOOKUP(responses[[#This Row],[plant_types]],plant_info[plant],plant_info[toxic])</f>
        <v>safe for pets &amp; children</v>
      </c>
      <c r="O148" t="s">
        <v>199</v>
      </c>
      <c r="P148" t="str">
        <f>_xlfn.XLOOKUP(responses[[#This Row],[reason_for_purchase_free_response]],reason[reason_for_purchase_free_response],reason[reason_for_purchase])</f>
        <v>size</v>
      </c>
      <c r="Q148" t="s">
        <v>6</v>
      </c>
      <c r="R148" t="s">
        <v>7</v>
      </c>
      <c r="S148" t="s">
        <v>13</v>
      </c>
    </row>
    <row r="149" spans="11:19">
      <c r="K149" t="s">
        <v>456</v>
      </c>
      <c r="L149" t="s">
        <v>20</v>
      </c>
      <c r="M149" t="str">
        <f>_xlfn.XLOOKUP(responses[[#This Row],[plant_types]],plant_info[plant],plant_info[maintenance-requirements])</f>
        <v>low-maintenance</v>
      </c>
      <c r="N149" t="str">
        <f>_xlfn.XLOOKUP(responses[[#This Row],[plant_types]],plant_info[plant],plant_info[toxic])</f>
        <v>safe for pets &amp; children</v>
      </c>
      <c r="O149" t="s">
        <v>200</v>
      </c>
      <c r="P149" t="str">
        <f>_xlfn.XLOOKUP(responses[[#This Row],[reason_for_purchase_free_response]],reason[reason_for_purchase_free_response],reason[reason_for_purchase])</f>
        <v>pet-friendly or safe for children</v>
      </c>
      <c r="Q149" t="s">
        <v>28</v>
      </c>
      <c r="R149" t="s">
        <v>39</v>
      </c>
      <c r="S149" t="s">
        <v>25</v>
      </c>
    </row>
    <row r="150" spans="11:19">
      <c r="K150" t="s">
        <v>457</v>
      </c>
      <c r="L150" t="s">
        <v>15</v>
      </c>
      <c r="M150" t="str">
        <f>_xlfn.XLOOKUP(responses[[#This Row],[plant_types]],plant_info[plant],plant_info[maintenance-requirements])</f>
        <v>low-maintenance</v>
      </c>
      <c r="N150" t="str">
        <f>_xlfn.XLOOKUP(responses[[#This Row],[plant_types]],plant_info[plant],plant_info[toxic])</f>
        <v>safe for pets &amp; children</v>
      </c>
      <c r="O150" t="s">
        <v>201</v>
      </c>
      <c r="P150" t="str">
        <f>_xlfn.XLOOKUP(responses[[#This Row],[reason_for_purchase_free_response]],reason[reason_for_purchase_free_response],reason[reason_for_purchase])</f>
        <v>pet-friendly or safe for children</v>
      </c>
      <c r="Q150" t="s">
        <v>28</v>
      </c>
      <c r="R150" t="s">
        <v>24</v>
      </c>
      <c r="S150" t="s">
        <v>21</v>
      </c>
    </row>
    <row r="151" spans="11:19">
      <c r="K151" t="s">
        <v>458</v>
      </c>
      <c r="L151" t="s">
        <v>41</v>
      </c>
      <c r="M151" t="str">
        <f>_xlfn.XLOOKUP(responses[[#This Row],[plant_types]],plant_info[plant],plant_info[maintenance-requirements])</f>
        <v>low-maintenance</v>
      </c>
      <c r="N151" t="str">
        <f>_xlfn.XLOOKUP(responses[[#This Row],[plant_types]],plant_info[plant],plant_info[toxic])</f>
        <v>safe for pets &amp; children</v>
      </c>
      <c r="O151" t="s">
        <v>202</v>
      </c>
      <c r="P151" t="str">
        <f>_xlfn.XLOOKUP(responses[[#This Row],[reason_for_purchase_free_response]],reason[reason_for_purchase_free_response],reason[reason_for_purchase])</f>
        <v>size</v>
      </c>
      <c r="Q151" t="s">
        <v>28</v>
      </c>
      <c r="R151" t="s">
        <v>24</v>
      </c>
      <c r="S151" t="s">
        <v>25</v>
      </c>
    </row>
    <row r="152" spans="11:19">
      <c r="K152" t="s">
        <v>459</v>
      </c>
      <c r="L152" t="s">
        <v>204</v>
      </c>
      <c r="M152" t="str">
        <f>_xlfn.XLOOKUP(responses[[#This Row],[plant_types]],plant_info[plant],plant_info[maintenance-requirements])</f>
        <v>med-maintenance</v>
      </c>
      <c r="N152" t="str">
        <f>_xlfn.XLOOKUP(responses[[#This Row],[plant_types]],plant_info[plant],plant_info[toxic])</f>
        <v>safe for pets &amp; children</v>
      </c>
      <c r="O152" t="s">
        <v>203</v>
      </c>
      <c r="P152" t="str">
        <f>_xlfn.XLOOKUP(responses[[#This Row],[reason_for_purchase_free_response]],reason[reason_for_purchase_free_response],reason[reason_for_purchase])</f>
        <v>rare or unique species</v>
      </c>
      <c r="Q152" t="s">
        <v>12</v>
      </c>
      <c r="R152" t="s">
        <v>18</v>
      </c>
      <c r="S152" t="s">
        <v>25</v>
      </c>
    </row>
    <row r="153" spans="11:19">
      <c r="K153" t="s">
        <v>460</v>
      </c>
      <c r="L153" t="s">
        <v>206</v>
      </c>
      <c r="M153" t="str">
        <f>_xlfn.XLOOKUP(responses[[#This Row],[plant_types]],plant_info[plant],plant_info[maintenance-requirements])</f>
        <v>high-maintenance</v>
      </c>
      <c r="N153" t="str">
        <f>_xlfn.XLOOKUP(responses[[#This Row],[plant_types]],plant_info[plant],plant_info[toxic])</f>
        <v>safe for pets &amp; children</v>
      </c>
      <c r="O153" t="s">
        <v>205</v>
      </c>
      <c r="P153" t="str">
        <f>_xlfn.XLOOKUP(responses[[#This Row],[reason_for_purchase_free_response]],reason[reason_for_purchase_free_response],reason[reason_for_purchase])</f>
        <v>care requirements</v>
      </c>
      <c r="Q153" t="s">
        <v>6</v>
      </c>
      <c r="R153" t="s">
        <v>7</v>
      </c>
      <c r="S153" t="s">
        <v>13</v>
      </c>
    </row>
    <row r="154" spans="11:19">
      <c r="K154" t="s">
        <v>461</v>
      </c>
      <c r="L154" t="s">
        <v>49</v>
      </c>
      <c r="M154" t="str">
        <f>_xlfn.XLOOKUP(responses[[#This Row],[plant_types]],plant_info[plant],plant_info[maintenance-requirements])</f>
        <v>low-maintenance</v>
      </c>
      <c r="N154" t="str">
        <f>_xlfn.XLOOKUP(responses[[#This Row],[plant_types]],plant_info[plant],plant_info[toxic])</f>
        <v>safe for pets &amp; children</v>
      </c>
      <c r="O154" t="s">
        <v>207</v>
      </c>
      <c r="P154" t="str">
        <f>_xlfn.XLOOKUP(responses[[#This Row],[reason_for_purchase_free_response]],reason[reason_for_purchase_free_response],reason[reason_for_purchase])</f>
        <v>care requirements</v>
      </c>
      <c r="Q154" t="s">
        <v>12</v>
      </c>
      <c r="R154" t="s">
        <v>24</v>
      </c>
      <c r="S154" t="s">
        <v>8</v>
      </c>
    </row>
    <row r="155" spans="11:19">
      <c r="K155" t="s">
        <v>462</v>
      </c>
      <c r="L155" t="s">
        <v>20</v>
      </c>
      <c r="M155" t="str">
        <f>_xlfn.XLOOKUP(responses[[#This Row],[plant_types]],plant_info[plant],plant_info[maintenance-requirements])</f>
        <v>low-maintenance</v>
      </c>
      <c r="N155" t="str">
        <f>_xlfn.XLOOKUP(responses[[#This Row],[plant_types]],plant_info[plant],plant_info[toxic])</f>
        <v>safe for pets &amp; children</v>
      </c>
      <c r="O155" t="s">
        <v>208</v>
      </c>
      <c r="P155" t="str">
        <f>_xlfn.XLOOKUP(responses[[#This Row],[reason_for_purchase_free_response]],reason[reason_for_purchase_free_response],reason[reason_for_purchase])</f>
        <v>care requirements</v>
      </c>
      <c r="Q155" t="s">
        <v>12</v>
      </c>
      <c r="R155" t="s">
        <v>31</v>
      </c>
      <c r="S155" t="s">
        <v>21</v>
      </c>
    </row>
    <row r="156" spans="11:19">
      <c r="K156" t="s">
        <v>463</v>
      </c>
      <c r="L156" t="s">
        <v>23</v>
      </c>
      <c r="M156" t="str">
        <f>_xlfn.XLOOKUP(responses[[#This Row],[plant_types]],plant_info[plant],plant_info[maintenance-requirements])</f>
        <v>med-maintenance</v>
      </c>
      <c r="N156" t="str">
        <f>_xlfn.XLOOKUP(responses[[#This Row],[plant_types]],plant_info[plant],plant_info[toxic])</f>
        <v>safe for pets &amp; children</v>
      </c>
      <c r="O156" t="s">
        <v>209</v>
      </c>
      <c r="P156" t="str">
        <f>_xlfn.XLOOKUP(responses[[#This Row],[reason_for_purchase_free_response]],reason[reason_for_purchase_free_response],reason[reason_for_purchase])</f>
        <v>size</v>
      </c>
      <c r="Q156" t="s">
        <v>12</v>
      </c>
      <c r="R156" t="s">
        <v>24</v>
      </c>
      <c r="S156" t="s">
        <v>21</v>
      </c>
    </row>
    <row r="157" spans="11:19">
      <c r="K157" t="s">
        <v>464</v>
      </c>
      <c r="L157" t="s">
        <v>20</v>
      </c>
      <c r="M157" t="str">
        <f>_xlfn.XLOOKUP(responses[[#This Row],[plant_types]],plant_info[plant],plant_info[maintenance-requirements])</f>
        <v>low-maintenance</v>
      </c>
      <c r="N157" t="str">
        <f>_xlfn.XLOOKUP(responses[[#This Row],[plant_types]],plant_info[plant],plant_info[toxic])</f>
        <v>safe for pets &amp; children</v>
      </c>
      <c r="O157" t="s">
        <v>210</v>
      </c>
      <c r="P157" t="str">
        <f>_xlfn.XLOOKUP(responses[[#This Row],[reason_for_purchase_free_response]],reason[reason_for_purchase_free_response],reason[reason_for_purchase])</f>
        <v>size</v>
      </c>
      <c r="Q157" t="s">
        <v>17</v>
      </c>
      <c r="R157" t="s">
        <v>24</v>
      </c>
      <c r="S157" t="s">
        <v>35</v>
      </c>
    </row>
    <row r="158" spans="11:19">
      <c r="K158" t="s">
        <v>465</v>
      </c>
      <c r="L158" t="s">
        <v>131</v>
      </c>
      <c r="M158" t="str">
        <f>_xlfn.XLOOKUP(responses[[#This Row],[plant_types]],plant_info[plant],plant_info[maintenance-requirements])</f>
        <v>high-maintenance</v>
      </c>
      <c r="N158" t="str">
        <f>_xlfn.XLOOKUP(responses[[#This Row],[plant_types]],plant_info[plant],plant_info[toxic])</f>
        <v>safe for pets &amp; children</v>
      </c>
      <c r="O158" t="s">
        <v>211</v>
      </c>
      <c r="P158" t="str">
        <f>_xlfn.XLOOKUP(responses[[#This Row],[reason_for_purchase_free_response]],reason[reason_for_purchase_free_response],reason[reason_for_purchase])</f>
        <v>pet-friendly or safe for children</v>
      </c>
      <c r="Q158" t="s">
        <v>28</v>
      </c>
      <c r="R158" t="s">
        <v>18</v>
      </c>
      <c r="S158" t="s">
        <v>13</v>
      </c>
    </row>
    <row r="159" spans="11:19">
      <c r="K159" t="s">
        <v>466</v>
      </c>
      <c r="L159" t="s">
        <v>81</v>
      </c>
      <c r="M159" t="str">
        <f>_xlfn.XLOOKUP(responses[[#This Row],[plant_types]],plant_info[plant],plant_info[maintenance-requirements])</f>
        <v>med-maintenance</v>
      </c>
      <c r="N159" t="str">
        <f>_xlfn.XLOOKUP(responses[[#This Row],[plant_types]],plant_info[plant],plant_info[toxic])</f>
        <v>safe for pets &amp; children</v>
      </c>
      <c r="O159" t="s">
        <v>212</v>
      </c>
      <c r="P159" t="str">
        <f>_xlfn.XLOOKUP(responses[[#This Row],[reason_for_purchase_free_response]],reason[reason_for_purchase_free_response],reason[reason_for_purchase])</f>
        <v>care requirements</v>
      </c>
      <c r="Q159" t="s">
        <v>6</v>
      </c>
      <c r="R159" t="s">
        <v>18</v>
      </c>
      <c r="S159" t="s">
        <v>25</v>
      </c>
    </row>
    <row r="160" spans="11:19">
      <c r="K160" t="s">
        <v>467</v>
      </c>
      <c r="L160" t="s">
        <v>64</v>
      </c>
      <c r="M160" t="str">
        <f>_xlfn.XLOOKUP(responses[[#This Row],[plant_types]],plant_info[plant],plant_info[maintenance-requirements])</f>
        <v>low-maintenance</v>
      </c>
      <c r="N160" t="str">
        <f>_xlfn.XLOOKUP(responses[[#This Row],[plant_types]],plant_info[plant],plant_info[toxic])</f>
        <v>safe for pets &amp; children</v>
      </c>
      <c r="O160" t="s">
        <v>213</v>
      </c>
      <c r="P160" t="str">
        <f>_xlfn.XLOOKUP(responses[[#This Row],[reason_for_purchase_free_response]],reason[reason_for_purchase_free_response],reason[reason_for_purchase])</f>
        <v>size</v>
      </c>
      <c r="Q160" t="s">
        <v>28</v>
      </c>
      <c r="R160" t="s">
        <v>31</v>
      </c>
      <c r="S160" t="s">
        <v>8</v>
      </c>
    </row>
    <row r="161" spans="11:19">
      <c r="K161" t="s">
        <v>468</v>
      </c>
      <c r="L161" t="s">
        <v>49</v>
      </c>
      <c r="M161" t="str">
        <f>_xlfn.XLOOKUP(responses[[#This Row],[plant_types]],plant_info[plant],plant_info[maintenance-requirements])</f>
        <v>low-maintenance</v>
      </c>
      <c r="N161" t="str">
        <f>_xlfn.XLOOKUP(responses[[#This Row],[plant_types]],plant_info[plant],plant_info[toxic])</f>
        <v>safe for pets &amp; children</v>
      </c>
      <c r="O161" t="s">
        <v>214</v>
      </c>
      <c r="P161" t="str">
        <f>_xlfn.XLOOKUP(responses[[#This Row],[reason_for_purchase_free_response]],reason[reason_for_purchase_free_response],reason[reason_for_purchase])</f>
        <v>rare or unique species</v>
      </c>
      <c r="Q161" t="s">
        <v>6</v>
      </c>
      <c r="R161" t="s">
        <v>18</v>
      </c>
      <c r="S161" t="s">
        <v>25</v>
      </c>
    </row>
    <row r="162" spans="11:19">
      <c r="K162" t="s">
        <v>469</v>
      </c>
      <c r="L162" t="s">
        <v>49</v>
      </c>
      <c r="M162" t="str">
        <f>_xlfn.XLOOKUP(responses[[#This Row],[plant_types]],plant_info[plant],plant_info[maintenance-requirements])</f>
        <v>low-maintenance</v>
      </c>
      <c r="N162" t="str">
        <f>_xlfn.XLOOKUP(responses[[#This Row],[plant_types]],plant_info[plant],plant_info[toxic])</f>
        <v>safe for pets &amp; children</v>
      </c>
      <c r="O162" t="s">
        <v>215</v>
      </c>
      <c r="P162" t="str">
        <f>_xlfn.XLOOKUP(responses[[#This Row],[reason_for_purchase_free_response]],reason[reason_for_purchase_free_response],reason[reason_for_purchase])</f>
        <v>price</v>
      </c>
      <c r="Q162" t="s">
        <v>6</v>
      </c>
      <c r="R162" t="s">
        <v>24</v>
      </c>
      <c r="S162" t="s">
        <v>8</v>
      </c>
    </row>
    <row r="163" spans="11:19">
      <c r="K163" t="s">
        <v>470</v>
      </c>
      <c r="L163" t="s">
        <v>15</v>
      </c>
      <c r="M163" t="str">
        <f>_xlfn.XLOOKUP(responses[[#This Row],[plant_types]],plant_info[plant],plant_info[maintenance-requirements])</f>
        <v>low-maintenance</v>
      </c>
      <c r="N163" t="str">
        <f>_xlfn.XLOOKUP(responses[[#This Row],[plant_types]],plant_info[plant],plant_info[toxic])</f>
        <v>safe for pets &amp; children</v>
      </c>
      <c r="O163" t="s">
        <v>216</v>
      </c>
      <c r="P163" t="str">
        <f>_xlfn.XLOOKUP(responses[[#This Row],[reason_for_purchase_free_response]],reason[reason_for_purchase_free_response],reason[reason_for_purchase])</f>
        <v>care requirements</v>
      </c>
      <c r="Q163" t="s">
        <v>171</v>
      </c>
      <c r="R163" t="s">
        <v>7</v>
      </c>
      <c r="S163" t="s">
        <v>8</v>
      </c>
    </row>
    <row r="164" spans="11:19">
      <c r="K164" t="s">
        <v>471</v>
      </c>
      <c r="L164" t="s">
        <v>64</v>
      </c>
      <c r="M164" t="str">
        <f>_xlfn.XLOOKUP(responses[[#This Row],[plant_types]],plant_info[plant],plant_info[maintenance-requirements])</f>
        <v>low-maintenance</v>
      </c>
      <c r="N164" t="str">
        <f>_xlfn.XLOOKUP(responses[[#This Row],[plant_types]],plant_info[plant],plant_info[toxic])</f>
        <v>safe for pets &amp; children</v>
      </c>
      <c r="O164" t="s">
        <v>217</v>
      </c>
      <c r="P164" t="str">
        <f>_xlfn.XLOOKUP(responses[[#This Row],[reason_for_purchase_free_response]],reason[reason_for_purchase_free_response],reason[reason_for_purchase])</f>
        <v>benefits</v>
      </c>
      <c r="Q164" t="s">
        <v>28</v>
      </c>
      <c r="R164" t="s">
        <v>7</v>
      </c>
      <c r="S164" t="s">
        <v>13</v>
      </c>
    </row>
    <row r="165" spans="11:19">
      <c r="K165" t="s">
        <v>472</v>
      </c>
      <c r="L165" t="s">
        <v>41</v>
      </c>
      <c r="M165" t="str">
        <f>_xlfn.XLOOKUP(responses[[#This Row],[plant_types]],plant_info[plant],plant_info[maintenance-requirements])</f>
        <v>low-maintenance</v>
      </c>
      <c r="N165" t="str">
        <f>_xlfn.XLOOKUP(responses[[#This Row],[plant_types]],plant_info[plant],plant_info[toxic])</f>
        <v>safe for pets &amp; children</v>
      </c>
      <c r="O165" t="s">
        <v>218</v>
      </c>
      <c r="P165" t="str">
        <f>_xlfn.XLOOKUP(responses[[#This Row],[reason_for_purchase_free_response]],reason[reason_for_purchase_free_response],reason[reason_for_purchase])</f>
        <v>care requirements</v>
      </c>
      <c r="Q165" t="s">
        <v>6</v>
      </c>
      <c r="R165" t="s">
        <v>18</v>
      </c>
      <c r="S165" t="s">
        <v>25</v>
      </c>
    </row>
    <row r="166" spans="11:19">
      <c r="K166" t="s">
        <v>473</v>
      </c>
      <c r="L166" t="s">
        <v>204</v>
      </c>
      <c r="M166" t="str">
        <f>_xlfn.XLOOKUP(responses[[#This Row],[plant_types]],plant_info[plant],plant_info[maintenance-requirements])</f>
        <v>med-maintenance</v>
      </c>
      <c r="N166" t="str">
        <f>_xlfn.XLOOKUP(responses[[#This Row],[plant_types]],plant_info[plant],plant_info[toxic])</f>
        <v>safe for pets &amp; children</v>
      </c>
      <c r="O166" t="s">
        <v>219</v>
      </c>
      <c r="P166" t="str">
        <f>_xlfn.XLOOKUP(responses[[#This Row],[reason_for_purchase_free_response]],reason[reason_for_purchase_free_response],reason[reason_for_purchase])</f>
        <v>pet-friendly or safe for children</v>
      </c>
      <c r="Q166" t="s">
        <v>171</v>
      </c>
      <c r="R166" t="s">
        <v>7</v>
      </c>
      <c r="S166" t="s">
        <v>25</v>
      </c>
    </row>
    <row r="167" spans="11:19">
      <c r="K167" t="s">
        <v>474</v>
      </c>
      <c r="L167" t="s">
        <v>20</v>
      </c>
      <c r="M167" t="str">
        <f>_xlfn.XLOOKUP(responses[[#This Row],[plant_types]],plant_info[plant],plant_info[maintenance-requirements])</f>
        <v>low-maintenance</v>
      </c>
      <c r="N167" t="str">
        <f>_xlfn.XLOOKUP(responses[[#This Row],[plant_types]],plant_info[plant],plant_info[toxic])</f>
        <v>safe for pets &amp; children</v>
      </c>
      <c r="O167" t="s">
        <v>220</v>
      </c>
      <c r="P167" t="str">
        <f>_xlfn.XLOOKUP(responses[[#This Row],[reason_for_purchase_free_response]],reason[reason_for_purchase_free_response],reason[reason_for_purchase])</f>
        <v>care requirements</v>
      </c>
      <c r="Q167" t="s">
        <v>6</v>
      </c>
      <c r="R167" t="s">
        <v>18</v>
      </c>
      <c r="S167" t="s">
        <v>13</v>
      </c>
    </row>
    <row r="168" spans="11:19">
      <c r="K168" t="s">
        <v>475</v>
      </c>
      <c r="L168" t="s">
        <v>47</v>
      </c>
      <c r="M168" t="str">
        <f>_xlfn.XLOOKUP(responses[[#This Row],[plant_types]],plant_info[plant],plant_info[maintenance-requirements])</f>
        <v>low-maintenance</v>
      </c>
      <c r="N168" t="str">
        <f>_xlfn.XLOOKUP(responses[[#This Row],[plant_types]],plant_info[plant],plant_info[toxic])</f>
        <v>safe for pets &amp; children</v>
      </c>
      <c r="O168" t="s">
        <v>221</v>
      </c>
      <c r="P168" t="str">
        <f>_xlfn.XLOOKUP(responses[[#This Row],[reason_for_purchase_free_response]],reason[reason_for_purchase_free_response],reason[reason_for_purchase])</f>
        <v>rare or unique species</v>
      </c>
      <c r="Q168" t="s">
        <v>6</v>
      </c>
      <c r="R168" t="s">
        <v>39</v>
      </c>
      <c r="S168" t="s">
        <v>13</v>
      </c>
    </row>
    <row r="169" spans="11:19">
      <c r="K169" t="s">
        <v>476</v>
      </c>
      <c r="L169" t="s">
        <v>30</v>
      </c>
      <c r="M169" t="str">
        <f>_xlfn.XLOOKUP(responses[[#This Row],[plant_types]],plant_info[plant],plant_info[maintenance-requirements])</f>
        <v>low-maintenance</v>
      </c>
      <c r="N169" t="str">
        <f>_xlfn.XLOOKUP(responses[[#This Row],[plant_types]],plant_info[plant],plant_info[toxic])</f>
        <v>safe for pets &amp; children</v>
      </c>
      <c r="O169" t="s">
        <v>222</v>
      </c>
      <c r="P169" t="str">
        <f>_xlfn.XLOOKUP(responses[[#This Row],[reason_for_purchase_free_response]],reason[reason_for_purchase_free_response],reason[reason_for_purchase])</f>
        <v>pet-friendly or safe for children</v>
      </c>
      <c r="Q169" t="s">
        <v>6</v>
      </c>
      <c r="R169" t="s">
        <v>7</v>
      </c>
      <c r="S169" t="s">
        <v>25</v>
      </c>
    </row>
    <row r="170" spans="11:19">
      <c r="K170" t="s">
        <v>477</v>
      </c>
      <c r="L170" t="s">
        <v>47</v>
      </c>
      <c r="M170" t="str">
        <f>_xlfn.XLOOKUP(responses[[#This Row],[plant_types]],plant_info[plant],plant_info[maintenance-requirements])</f>
        <v>low-maintenance</v>
      </c>
      <c r="N170" t="str">
        <f>_xlfn.XLOOKUP(responses[[#This Row],[plant_types]],plant_info[plant],plant_info[toxic])</f>
        <v>safe for pets &amp; children</v>
      </c>
      <c r="O170" t="s">
        <v>223</v>
      </c>
      <c r="P170" t="str">
        <f>_xlfn.XLOOKUP(responses[[#This Row],[reason_for_purchase_free_response]],reason[reason_for_purchase_free_response],reason[reason_for_purchase])</f>
        <v>pet-friendly or safe for children</v>
      </c>
      <c r="Q170" t="s">
        <v>12</v>
      </c>
      <c r="R170" t="s">
        <v>18</v>
      </c>
      <c r="S170" t="s">
        <v>25</v>
      </c>
    </row>
    <row r="171" spans="11:19">
      <c r="K171" t="s">
        <v>478</v>
      </c>
      <c r="L171" t="s">
        <v>225</v>
      </c>
      <c r="M171" t="str">
        <f>_xlfn.XLOOKUP(responses[[#This Row],[plant_types]],plant_info[plant],plant_info[maintenance-requirements])</f>
        <v>med-maintenance</v>
      </c>
      <c r="N171" t="str">
        <f>_xlfn.XLOOKUP(responses[[#This Row],[plant_types]],plant_info[plant],plant_info[toxic])</f>
        <v>safe for pets &amp; children</v>
      </c>
      <c r="O171" t="s">
        <v>224</v>
      </c>
      <c r="P171" t="str">
        <f>_xlfn.XLOOKUP(responses[[#This Row],[reason_for_purchase_free_response]],reason[reason_for_purchase_free_response],reason[reason_for_purchase])</f>
        <v>pet-friendly or safe for children</v>
      </c>
      <c r="Q171" t="s">
        <v>28</v>
      </c>
      <c r="R171" t="s">
        <v>7</v>
      </c>
      <c r="S171" t="s">
        <v>8</v>
      </c>
    </row>
    <row r="172" spans="11:19">
      <c r="K172" t="s">
        <v>479</v>
      </c>
      <c r="L172" t="s">
        <v>47</v>
      </c>
      <c r="M172" t="str">
        <f>_xlfn.XLOOKUP(responses[[#This Row],[plant_types]],plant_info[plant],plant_info[maintenance-requirements])</f>
        <v>low-maintenance</v>
      </c>
      <c r="N172" t="str">
        <f>_xlfn.XLOOKUP(responses[[#This Row],[plant_types]],plant_info[plant],plant_info[toxic])</f>
        <v>safe for pets &amp; children</v>
      </c>
      <c r="O172" t="s">
        <v>226</v>
      </c>
      <c r="P172" t="str">
        <f>_xlfn.XLOOKUP(responses[[#This Row],[reason_for_purchase_free_response]],reason[reason_for_purchase_free_response],reason[reason_for_purchase])</f>
        <v>pet-friendly or safe for children</v>
      </c>
      <c r="Q172" t="s">
        <v>28</v>
      </c>
      <c r="R172" t="s">
        <v>39</v>
      </c>
      <c r="S172" t="s">
        <v>25</v>
      </c>
    </row>
    <row r="173" spans="11:19">
      <c r="K173" t="s">
        <v>480</v>
      </c>
      <c r="L173" t="s">
        <v>47</v>
      </c>
      <c r="M173" t="str">
        <f>_xlfn.XLOOKUP(responses[[#This Row],[plant_types]],plant_info[plant],plant_info[maintenance-requirements])</f>
        <v>low-maintenance</v>
      </c>
      <c r="N173" t="str">
        <f>_xlfn.XLOOKUP(responses[[#This Row],[plant_types]],plant_info[plant],plant_info[toxic])</f>
        <v>safe for pets &amp; children</v>
      </c>
      <c r="O173" t="s">
        <v>227</v>
      </c>
      <c r="P173" t="str">
        <f>_xlfn.XLOOKUP(responses[[#This Row],[reason_for_purchase_free_response]],reason[reason_for_purchase_free_response],reason[reason_for_purchase])</f>
        <v>care requirements</v>
      </c>
      <c r="Q173" t="s">
        <v>28</v>
      </c>
      <c r="R173" t="s">
        <v>7</v>
      </c>
      <c r="S173" t="s">
        <v>13</v>
      </c>
    </row>
    <row r="174" spans="11:19">
      <c r="K174" t="s">
        <v>481</v>
      </c>
      <c r="L174" t="s">
        <v>49</v>
      </c>
      <c r="M174" t="str">
        <f>_xlfn.XLOOKUP(responses[[#This Row],[plant_types]],plant_info[plant],plant_info[maintenance-requirements])</f>
        <v>low-maintenance</v>
      </c>
      <c r="N174" t="str">
        <f>_xlfn.XLOOKUP(responses[[#This Row],[plant_types]],plant_info[plant],plant_info[toxic])</f>
        <v>safe for pets &amp; children</v>
      </c>
      <c r="O174" t="s">
        <v>228</v>
      </c>
      <c r="P174" t="str">
        <f>_xlfn.XLOOKUP(responses[[#This Row],[reason_for_purchase_free_response]],reason[reason_for_purchase_free_response],reason[reason_for_purchase])</f>
        <v>benefits</v>
      </c>
      <c r="Q174" t="s">
        <v>6</v>
      </c>
      <c r="R174" t="s">
        <v>24</v>
      </c>
      <c r="S174" t="s">
        <v>13</v>
      </c>
    </row>
    <row r="175" spans="11:19">
      <c r="K175" t="s">
        <v>482</v>
      </c>
      <c r="L175" t="s">
        <v>30</v>
      </c>
      <c r="M175" t="str">
        <f>_xlfn.XLOOKUP(responses[[#This Row],[plant_types]],plant_info[plant],plant_info[maintenance-requirements])</f>
        <v>low-maintenance</v>
      </c>
      <c r="N175" t="str">
        <f>_xlfn.XLOOKUP(responses[[#This Row],[plant_types]],plant_info[plant],plant_info[toxic])</f>
        <v>safe for pets &amp; children</v>
      </c>
      <c r="O175" t="s">
        <v>229</v>
      </c>
      <c r="P175" t="str">
        <f>_xlfn.XLOOKUP(responses[[#This Row],[reason_for_purchase_free_response]],reason[reason_for_purchase_free_response],reason[reason_for_purchase])</f>
        <v>pet-friendly or safe for children</v>
      </c>
      <c r="Q175" t="s">
        <v>6</v>
      </c>
      <c r="R175" t="s">
        <v>18</v>
      </c>
      <c r="S175" t="s">
        <v>8</v>
      </c>
    </row>
    <row r="176" spans="11:19">
      <c r="K176" t="s">
        <v>483</v>
      </c>
      <c r="L176" t="s">
        <v>64</v>
      </c>
      <c r="M176" t="str">
        <f>_xlfn.XLOOKUP(responses[[#This Row],[plant_types]],plant_info[plant],plant_info[maintenance-requirements])</f>
        <v>low-maintenance</v>
      </c>
      <c r="N176" t="str">
        <f>_xlfn.XLOOKUP(responses[[#This Row],[plant_types]],plant_info[plant],plant_info[toxic])</f>
        <v>safe for pets &amp; children</v>
      </c>
      <c r="O176" t="s">
        <v>230</v>
      </c>
      <c r="P176" t="str">
        <f>_xlfn.XLOOKUP(responses[[#This Row],[reason_for_purchase_free_response]],reason[reason_for_purchase_free_response],reason[reason_for_purchase])</f>
        <v>care requirements</v>
      </c>
      <c r="Q176" t="s">
        <v>12</v>
      </c>
      <c r="R176" t="s">
        <v>18</v>
      </c>
      <c r="S176" t="s">
        <v>8</v>
      </c>
    </row>
    <row r="177" spans="11:19">
      <c r="K177" t="s">
        <v>484</v>
      </c>
      <c r="L177" t="s">
        <v>273</v>
      </c>
      <c r="M177" t="str">
        <f>_xlfn.XLOOKUP(responses[[#This Row],[plant_types]],plant_info[plant],plant_info[maintenance-requirements])</f>
        <v>med-maintenance</v>
      </c>
      <c r="N177" t="str">
        <f>_xlfn.XLOOKUP(responses[[#This Row],[plant_types]],plant_info[plant],plant_info[toxic])</f>
        <v>safe for pets &amp; children</v>
      </c>
      <c r="O177" t="s">
        <v>231</v>
      </c>
      <c r="P177" t="str">
        <f>_xlfn.XLOOKUP(responses[[#This Row],[reason_for_purchase_free_response]],reason[reason_for_purchase_free_response],reason[reason_for_purchase])</f>
        <v>pet-friendly or safe for children</v>
      </c>
      <c r="Q177" t="s">
        <v>12</v>
      </c>
      <c r="R177" t="s">
        <v>7</v>
      </c>
      <c r="S177" t="s">
        <v>13</v>
      </c>
    </row>
    <row r="178" spans="11:19">
      <c r="K178" t="s">
        <v>485</v>
      </c>
      <c r="L178" t="s">
        <v>30</v>
      </c>
      <c r="M178" t="str">
        <f>_xlfn.XLOOKUP(responses[[#This Row],[plant_types]],plant_info[plant],plant_info[maintenance-requirements])</f>
        <v>low-maintenance</v>
      </c>
      <c r="N178" t="str">
        <f>_xlfn.XLOOKUP(responses[[#This Row],[plant_types]],plant_info[plant],plant_info[toxic])</f>
        <v>safe for pets &amp; children</v>
      </c>
      <c r="O178" t="s">
        <v>232</v>
      </c>
      <c r="P178" t="str">
        <f>_xlfn.XLOOKUP(responses[[#This Row],[reason_for_purchase_free_response]],reason[reason_for_purchase_free_response],reason[reason_for_purchase])</f>
        <v>benefits</v>
      </c>
      <c r="Q178" t="s">
        <v>6</v>
      </c>
      <c r="R178" t="s">
        <v>18</v>
      </c>
      <c r="S178" t="s">
        <v>21</v>
      </c>
    </row>
    <row r="179" spans="11:19">
      <c r="K179" t="s">
        <v>486</v>
      </c>
      <c r="L179" t="s">
        <v>47</v>
      </c>
      <c r="M179" t="str">
        <f>_xlfn.XLOOKUP(responses[[#This Row],[plant_types]],plant_info[plant],plant_info[maintenance-requirements])</f>
        <v>low-maintenance</v>
      </c>
      <c r="N179" t="str">
        <f>_xlfn.XLOOKUP(responses[[#This Row],[plant_types]],plant_info[plant],plant_info[toxic])</f>
        <v>safe for pets &amp; children</v>
      </c>
      <c r="O179" t="s">
        <v>36</v>
      </c>
      <c r="P179" t="str">
        <f>_xlfn.XLOOKUP(responses[[#This Row],[reason_for_purchase_free_response]],reason[reason_for_purchase_free_response],reason[reason_for_purchase])</f>
        <v>size</v>
      </c>
      <c r="Q179" t="s">
        <v>6</v>
      </c>
      <c r="R179" t="s">
        <v>7</v>
      </c>
      <c r="S179" t="s">
        <v>13</v>
      </c>
    </row>
    <row r="180" spans="11:19">
      <c r="K180" t="s">
        <v>487</v>
      </c>
      <c r="L180" t="s">
        <v>15</v>
      </c>
      <c r="M180" t="str">
        <f>_xlfn.XLOOKUP(responses[[#This Row],[plant_types]],plant_info[plant],plant_info[maintenance-requirements])</f>
        <v>low-maintenance</v>
      </c>
      <c r="N180" t="str">
        <f>_xlfn.XLOOKUP(responses[[#This Row],[plant_types]],plant_info[plant],plant_info[toxic])</f>
        <v>safe for pets &amp; children</v>
      </c>
      <c r="O180" t="s">
        <v>233</v>
      </c>
      <c r="P180" t="str">
        <f>_xlfn.XLOOKUP(responses[[#This Row],[reason_for_purchase_free_response]],reason[reason_for_purchase_free_response],reason[reason_for_purchase])</f>
        <v>care requirements</v>
      </c>
      <c r="Q180" t="s">
        <v>6</v>
      </c>
      <c r="R180" t="s">
        <v>39</v>
      </c>
      <c r="S180" t="s">
        <v>13</v>
      </c>
    </row>
    <row r="181" spans="11:19">
      <c r="K181" t="s">
        <v>488</v>
      </c>
      <c r="L181" t="s">
        <v>49</v>
      </c>
      <c r="M181" t="str">
        <f>_xlfn.XLOOKUP(responses[[#This Row],[plant_types]],plant_info[plant],plant_info[maintenance-requirements])</f>
        <v>low-maintenance</v>
      </c>
      <c r="N181" t="str">
        <f>_xlfn.XLOOKUP(responses[[#This Row],[plant_types]],plant_info[plant],plant_info[toxic])</f>
        <v>safe for pets &amp; children</v>
      </c>
      <c r="O181" t="s">
        <v>234</v>
      </c>
      <c r="P181" t="str">
        <f>_xlfn.XLOOKUP(responses[[#This Row],[reason_for_purchase_free_response]],reason[reason_for_purchase_free_response],reason[reason_for_purchase])</f>
        <v>benefits</v>
      </c>
      <c r="Q181" t="s">
        <v>12</v>
      </c>
      <c r="R181" t="s">
        <v>18</v>
      </c>
      <c r="S181" t="s">
        <v>8</v>
      </c>
    </row>
    <row r="182" spans="11:19">
      <c r="K182" t="s">
        <v>489</v>
      </c>
      <c r="L182" t="s">
        <v>49</v>
      </c>
      <c r="M182" t="str">
        <f>_xlfn.XLOOKUP(responses[[#This Row],[plant_types]],plant_info[plant],plant_info[maintenance-requirements])</f>
        <v>low-maintenance</v>
      </c>
      <c r="N182" t="str">
        <f>_xlfn.XLOOKUP(responses[[#This Row],[plant_types]],plant_info[plant],plant_info[toxic])</f>
        <v>safe for pets &amp; children</v>
      </c>
      <c r="O182" t="s">
        <v>235</v>
      </c>
      <c r="P182" t="str">
        <f>_xlfn.XLOOKUP(responses[[#This Row],[reason_for_purchase_free_response]],reason[reason_for_purchase_free_response],reason[reason_for_purchase])</f>
        <v>benefits</v>
      </c>
      <c r="Q182" t="s">
        <v>28</v>
      </c>
      <c r="R182" t="s">
        <v>24</v>
      </c>
      <c r="S182" t="s">
        <v>21</v>
      </c>
    </row>
    <row r="183" spans="11:19">
      <c r="K183" t="s">
        <v>490</v>
      </c>
      <c r="L183" t="s">
        <v>10</v>
      </c>
      <c r="M183" t="str">
        <f>_xlfn.XLOOKUP(responses[[#This Row],[plant_types]],plant_info[plant],plant_info[maintenance-requirements])</f>
        <v>low-maintenance</v>
      </c>
      <c r="N183" t="str">
        <f>_xlfn.XLOOKUP(responses[[#This Row],[plant_types]],plant_info[plant],plant_info[toxic])</f>
        <v>safe for pets &amp; children</v>
      </c>
      <c r="O183" t="s">
        <v>236</v>
      </c>
      <c r="P183" t="str">
        <f>_xlfn.XLOOKUP(responses[[#This Row],[reason_for_purchase_free_response]],reason[reason_for_purchase_free_response],reason[reason_for_purchase])</f>
        <v>pet-friendly or safe for children</v>
      </c>
      <c r="Q183" t="s">
        <v>12</v>
      </c>
      <c r="R183" t="s">
        <v>18</v>
      </c>
      <c r="S183" t="s">
        <v>21</v>
      </c>
    </row>
    <row r="184" spans="11:19">
      <c r="K184" t="s">
        <v>491</v>
      </c>
      <c r="L184" t="s">
        <v>30</v>
      </c>
      <c r="M184" t="str">
        <f>_xlfn.XLOOKUP(responses[[#This Row],[plant_types]],plant_info[plant],plant_info[maintenance-requirements])</f>
        <v>low-maintenance</v>
      </c>
      <c r="N184" t="str">
        <f>_xlfn.XLOOKUP(responses[[#This Row],[plant_types]],plant_info[plant],plant_info[toxic])</f>
        <v>safe for pets &amp; children</v>
      </c>
      <c r="O184" t="s">
        <v>237</v>
      </c>
      <c r="P184" t="str">
        <f>_xlfn.XLOOKUP(responses[[#This Row],[reason_for_purchase_free_response]],reason[reason_for_purchase_free_response],reason[reason_for_purchase])</f>
        <v>pet-friendly or safe for children</v>
      </c>
      <c r="Q184" t="s">
        <v>12</v>
      </c>
      <c r="R184" t="s">
        <v>24</v>
      </c>
      <c r="S184" t="s">
        <v>13</v>
      </c>
    </row>
    <row r="185" spans="11:19">
      <c r="K185" t="s">
        <v>492</v>
      </c>
      <c r="L185" t="s">
        <v>49</v>
      </c>
      <c r="M185" t="str">
        <f>_xlfn.XLOOKUP(responses[[#This Row],[plant_types]],plant_info[plant],plant_info[maintenance-requirements])</f>
        <v>low-maintenance</v>
      </c>
      <c r="N185" t="str">
        <f>_xlfn.XLOOKUP(responses[[#This Row],[plant_types]],plant_info[plant],plant_info[toxic])</f>
        <v>safe for pets &amp; children</v>
      </c>
      <c r="O185" t="s">
        <v>238</v>
      </c>
      <c r="P185" t="str">
        <f>_xlfn.XLOOKUP(responses[[#This Row],[reason_for_purchase_free_response]],reason[reason_for_purchase_free_response],reason[reason_for_purchase])</f>
        <v>benefits</v>
      </c>
      <c r="Q185" t="s">
        <v>12</v>
      </c>
      <c r="R185" t="s">
        <v>18</v>
      </c>
      <c r="S185" t="s">
        <v>8</v>
      </c>
    </row>
    <row r="186" spans="11:19">
      <c r="K186" t="s">
        <v>493</v>
      </c>
      <c r="L186" t="s">
        <v>10</v>
      </c>
      <c r="M186" t="str">
        <f>_xlfn.XLOOKUP(responses[[#This Row],[plant_types]],plant_info[plant],plant_info[maintenance-requirements])</f>
        <v>low-maintenance</v>
      </c>
      <c r="N186" t="str">
        <f>_xlfn.XLOOKUP(responses[[#This Row],[plant_types]],plant_info[plant],plant_info[toxic])</f>
        <v>safe for pets &amp; children</v>
      </c>
      <c r="O186" t="s">
        <v>239</v>
      </c>
      <c r="P186" t="str">
        <f>_xlfn.XLOOKUP(responses[[#This Row],[reason_for_purchase_free_response]],reason[reason_for_purchase_free_response],reason[reason_for_purchase])</f>
        <v>benefits</v>
      </c>
      <c r="Q186" t="s">
        <v>12</v>
      </c>
      <c r="R186" t="s">
        <v>18</v>
      </c>
      <c r="S186" t="s">
        <v>13</v>
      </c>
    </row>
    <row r="187" spans="11:19">
      <c r="K187" t="s">
        <v>494</v>
      </c>
      <c r="L187" t="s">
        <v>20</v>
      </c>
      <c r="M187" t="str">
        <f>_xlfn.XLOOKUP(responses[[#This Row],[plant_types]],plant_info[plant],plant_info[maintenance-requirements])</f>
        <v>low-maintenance</v>
      </c>
      <c r="N187" t="str">
        <f>_xlfn.XLOOKUP(responses[[#This Row],[plant_types]],plant_info[plant],plant_info[toxic])</f>
        <v>safe for pets &amp; children</v>
      </c>
      <c r="O187" t="s">
        <v>240</v>
      </c>
      <c r="P187" t="str">
        <f>_xlfn.XLOOKUP(responses[[#This Row],[reason_for_purchase_free_response]],reason[reason_for_purchase_free_response],reason[reason_for_purchase])</f>
        <v>pet-friendly or safe for children</v>
      </c>
      <c r="Q187" t="s">
        <v>12</v>
      </c>
      <c r="R187" t="s">
        <v>24</v>
      </c>
      <c r="S187" t="s">
        <v>8</v>
      </c>
    </row>
    <row r="188" spans="11:19">
      <c r="K188" t="s">
        <v>495</v>
      </c>
      <c r="L188" t="s">
        <v>10</v>
      </c>
      <c r="M188" t="str">
        <f>_xlfn.XLOOKUP(responses[[#This Row],[plant_types]],plant_info[plant],plant_info[maintenance-requirements])</f>
        <v>low-maintenance</v>
      </c>
      <c r="N188" t="str">
        <f>_xlfn.XLOOKUP(responses[[#This Row],[plant_types]],plant_info[plant],plant_info[toxic])</f>
        <v>safe for pets &amp; children</v>
      </c>
      <c r="O188" t="s">
        <v>241</v>
      </c>
      <c r="P188" t="str">
        <f>_xlfn.XLOOKUP(responses[[#This Row],[reason_for_purchase_free_response]],reason[reason_for_purchase_free_response],reason[reason_for_purchase])</f>
        <v>size</v>
      </c>
      <c r="Q188" t="s">
        <v>6</v>
      </c>
      <c r="R188" t="s">
        <v>24</v>
      </c>
      <c r="S188" t="s">
        <v>13</v>
      </c>
    </row>
    <row r="189" spans="11:19">
      <c r="K189" t="s">
        <v>496</v>
      </c>
      <c r="L189" t="s">
        <v>131</v>
      </c>
      <c r="M189" t="str">
        <f>_xlfn.XLOOKUP(responses[[#This Row],[plant_types]],plant_info[plant],plant_info[maintenance-requirements])</f>
        <v>high-maintenance</v>
      </c>
      <c r="N189" t="str">
        <f>_xlfn.XLOOKUP(responses[[#This Row],[plant_types]],plant_info[plant],plant_info[toxic])</f>
        <v>safe for pets &amp; children</v>
      </c>
      <c r="O189" t="s">
        <v>242</v>
      </c>
      <c r="P189" t="str">
        <f>_xlfn.XLOOKUP(responses[[#This Row],[reason_for_purchase_free_response]],reason[reason_for_purchase_free_response],reason[reason_for_purchase])</f>
        <v>benefits</v>
      </c>
      <c r="Q189" t="s">
        <v>6</v>
      </c>
      <c r="R189" t="s">
        <v>24</v>
      </c>
      <c r="S189" t="s">
        <v>13</v>
      </c>
    </row>
    <row r="190" spans="11:19">
      <c r="K190" t="s">
        <v>497</v>
      </c>
      <c r="L190" t="s">
        <v>41</v>
      </c>
      <c r="M190" t="str">
        <f>_xlfn.XLOOKUP(responses[[#This Row],[plant_types]],plant_info[plant],plant_info[maintenance-requirements])</f>
        <v>low-maintenance</v>
      </c>
      <c r="N190" t="str">
        <f>_xlfn.XLOOKUP(responses[[#This Row],[plant_types]],plant_info[plant],plant_info[toxic])</f>
        <v>safe for pets &amp; children</v>
      </c>
      <c r="O190" t="s">
        <v>243</v>
      </c>
      <c r="P190" t="str">
        <f>_xlfn.XLOOKUP(responses[[#This Row],[reason_for_purchase_free_response]],reason[reason_for_purchase_free_response],reason[reason_for_purchase])</f>
        <v>pet-friendly or safe for children</v>
      </c>
      <c r="Q190" t="s">
        <v>28</v>
      </c>
      <c r="R190" t="s">
        <v>31</v>
      </c>
      <c r="S190" t="s">
        <v>8</v>
      </c>
    </row>
    <row r="191" spans="11:19">
      <c r="K191" t="s">
        <v>498</v>
      </c>
      <c r="L191" t="s">
        <v>47</v>
      </c>
      <c r="M191" t="str">
        <f>_xlfn.XLOOKUP(responses[[#This Row],[plant_types]],plant_info[plant],plant_info[maintenance-requirements])</f>
        <v>low-maintenance</v>
      </c>
      <c r="N191" t="str">
        <f>_xlfn.XLOOKUP(responses[[#This Row],[plant_types]],plant_info[plant],plant_info[toxic])</f>
        <v>safe for pets &amp; children</v>
      </c>
      <c r="O191" t="s">
        <v>244</v>
      </c>
      <c r="P191" t="str">
        <f>_xlfn.XLOOKUP(responses[[#This Row],[reason_for_purchase_free_response]],reason[reason_for_purchase_free_response],reason[reason_for_purchase])</f>
        <v>pet-friendly or safe for children</v>
      </c>
      <c r="Q191" t="s">
        <v>6</v>
      </c>
      <c r="R191" t="s">
        <v>31</v>
      </c>
      <c r="S191" t="s">
        <v>8</v>
      </c>
    </row>
    <row r="192" spans="11:19">
      <c r="K192" t="s">
        <v>499</v>
      </c>
      <c r="L192" t="s">
        <v>10</v>
      </c>
      <c r="M192" t="str">
        <f>_xlfn.XLOOKUP(responses[[#This Row],[plant_types]],plant_info[plant],plant_info[maintenance-requirements])</f>
        <v>low-maintenance</v>
      </c>
      <c r="N192" t="str">
        <f>_xlfn.XLOOKUP(responses[[#This Row],[plant_types]],plant_info[plant],plant_info[toxic])</f>
        <v>safe for pets &amp; children</v>
      </c>
      <c r="O192" t="s">
        <v>245</v>
      </c>
      <c r="P192" t="str">
        <f>_xlfn.XLOOKUP(responses[[#This Row],[reason_for_purchase_free_response]],reason[reason_for_purchase_free_response],reason[reason_for_purchase])</f>
        <v>rare or unique species</v>
      </c>
      <c r="Q192" t="s">
        <v>12</v>
      </c>
      <c r="R192" t="s">
        <v>7</v>
      </c>
      <c r="S192" t="s">
        <v>13</v>
      </c>
    </row>
    <row r="193" spans="11:19">
      <c r="K193" t="s">
        <v>500</v>
      </c>
      <c r="L193" t="s">
        <v>15</v>
      </c>
      <c r="M193" t="str">
        <f>_xlfn.XLOOKUP(responses[[#This Row],[plant_types]],plant_info[plant],plant_info[maintenance-requirements])</f>
        <v>low-maintenance</v>
      </c>
      <c r="N193" t="str">
        <f>_xlfn.XLOOKUP(responses[[#This Row],[plant_types]],plant_info[plant],plant_info[toxic])</f>
        <v>safe for pets &amp; children</v>
      </c>
      <c r="O193" t="s">
        <v>246</v>
      </c>
      <c r="P193" t="str">
        <f>_xlfn.XLOOKUP(responses[[#This Row],[reason_for_purchase_free_response]],reason[reason_for_purchase_free_response],reason[reason_for_purchase])</f>
        <v>benefits</v>
      </c>
      <c r="Q193" t="s">
        <v>6</v>
      </c>
      <c r="R193" t="s">
        <v>39</v>
      </c>
      <c r="S193" t="s">
        <v>8</v>
      </c>
    </row>
    <row r="194" spans="11:19">
      <c r="K194" t="s">
        <v>501</v>
      </c>
      <c r="L194" t="s">
        <v>10</v>
      </c>
      <c r="M194" t="str">
        <f>_xlfn.XLOOKUP(responses[[#This Row],[plant_types]],plant_info[plant],plant_info[maintenance-requirements])</f>
        <v>low-maintenance</v>
      </c>
      <c r="N194" t="str">
        <f>_xlfn.XLOOKUP(responses[[#This Row],[plant_types]],plant_info[plant],plant_info[toxic])</f>
        <v>safe for pets &amp; children</v>
      </c>
      <c r="O194" t="s">
        <v>247</v>
      </c>
      <c r="P194" t="str">
        <f>_xlfn.XLOOKUP(responses[[#This Row],[reason_for_purchase_free_response]],reason[reason_for_purchase_free_response],reason[reason_for_purchase])</f>
        <v>benefits</v>
      </c>
      <c r="Q194" t="s">
        <v>171</v>
      </c>
      <c r="R194" t="s">
        <v>7</v>
      </c>
      <c r="S194" t="s">
        <v>8</v>
      </c>
    </row>
    <row r="195" spans="11:19">
      <c r="K195" t="s">
        <v>502</v>
      </c>
      <c r="L195" t="s">
        <v>20</v>
      </c>
      <c r="M195" t="str">
        <f>_xlfn.XLOOKUP(responses[[#This Row],[plant_types]],plant_info[plant],plant_info[maintenance-requirements])</f>
        <v>low-maintenance</v>
      </c>
      <c r="N195" t="str">
        <f>_xlfn.XLOOKUP(responses[[#This Row],[plant_types]],plant_info[plant],plant_info[toxic])</f>
        <v>safe for pets &amp; children</v>
      </c>
      <c r="O195" t="s">
        <v>248</v>
      </c>
      <c r="P195" t="str">
        <f>_xlfn.XLOOKUP(responses[[#This Row],[reason_for_purchase_free_response]],reason[reason_for_purchase_free_response],reason[reason_for_purchase])</f>
        <v>pet-friendly or safe for children</v>
      </c>
      <c r="Q195" t="s">
        <v>28</v>
      </c>
      <c r="R195" t="s">
        <v>7</v>
      </c>
      <c r="S195" t="s">
        <v>21</v>
      </c>
    </row>
    <row r="196" spans="11:19">
      <c r="K196" t="s">
        <v>503</v>
      </c>
      <c r="L196" t="s">
        <v>15</v>
      </c>
      <c r="M196" t="str">
        <f>_xlfn.XLOOKUP(responses[[#This Row],[plant_types]],plant_info[plant],plant_info[maintenance-requirements])</f>
        <v>low-maintenance</v>
      </c>
      <c r="N196" t="str">
        <f>_xlfn.XLOOKUP(responses[[#This Row],[plant_types]],plant_info[plant],plant_info[toxic])</f>
        <v>safe for pets &amp; children</v>
      </c>
      <c r="O196" t="s">
        <v>249</v>
      </c>
      <c r="P196" t="str">
        <f>_xlfn.XLOOKUP(responses[[#This Row],[reason_for_purchase_free_response]],reason[reason_for_purchase_free_response],reason[reason_for_purchase])</f>
        <v>price</v>
      </c>
      <c r="Q196" t="s">
        <v>12</v>
      </c>
      <c r="R196" t="s">
        <v>7</v>
      </c>
      <c r="S196" t="s">
        <v>13</v>
      </c>
    </row>
    <row r="197" spans="11:19">
      <c r="K197" t="s">
        <v>504</v>
      </c>
      <c r="L197" t="s">
        <v>41</v>
      </c>
      <c r="M197" t="str">
        <f>_xlfn.XLOOKUP(responses[[#This Row],[plant_types]],plant_info[plant],plant_info[maintenance-requirements])</f>
        <v>low-maintenance</v>
      </c>
      <c r="N197" t="str">
        <f>_xlfn.XLOOKUP(responses[[#This Row],[plant_types]],plant_info[plant],plant_info[toxic])</f>
        <v>safe for pets &amp; children</v>
      </c>
      <c r="O197" t="s">
        <v>250</v>
      </c>
      <c r="P197" t="str">
        <f>_xlfn.XLOOKUP(responses[[#This Row],[reason_for_purchase_free_response]],reason[reason_for_purchase_free_response],reason[reason_for_purchase])</f>
        <v>size</v>
      </c>
      <c r="Q197" t="s">
        <v>6</v>
      </c>
      <c r="R197" t="s">
        <v>24</v>
      </c>
      <c r="S197" t="s">
        <v>21</v>
      </c>
    </row>
    <row r="198" spans="11:19">
      <c r="K198" t="s">
        <v>505</v>
      </c>
      <c r="L198" t="s">
        <v>204</v>
      </c>
      <c r="M198" t="str">
        <f>_xlfn.XLOOKUP(responses[[#This Row],[plant_types]],plant_info[plant],plant_info[maintenance-requirements])</f>
        <v>med-maintenance</v>
      </c>
      <c r="N198" t="str">
        <f>_xlfn.XLOOKUP(responses[[#This Row],[plant_types]],plant_info[plant],plant_info[toxic])</f>
        <v>safe for pets &amp; children</v>
      </c>
      <c r="O198" t="s">
        <v>251</v>
      </c>
      <c r="P198" t="str">
        <f>_xlfn.XLOOKUP(responses[[#This Row],[reason_for_purchase_free_response]],reason[reason_for_purchase_free_response],reason[reason_for_purchase])</f>
        <v>care requirements</v>
      </c>
      <c r="Q198" t="s">
        <v>12</v>
      </c>
      <c r="R198" t="s">
        <v>18</v>
      </c>
      <c r="S198" t="s">
        <v>25</v>
      </c>
    </row>
    <row r="199" spans="11:19">
      <c r="K199" t="s">
        <v>506</v>
      </c>
      <c r="L199" t="s">
        <v>20</v>
      </c>
      <c r="M199" t="str">
        <f>_xlfn.XLOOKUP(responses[[#This Row],[plant_types]],plant_info[plant],plant_info[maintenance-requirements])</f>
        <v>low-maintenance</v>
      </c>
      <c r="N199" t="str">
        <f>_xlfn.XLOOKUP(responses[[#This Row],[plant_types]],plant_info[plant],plant_info[toxic])</f>
        <v>safe for pets &amp; children</v>
      </c>
      <c r="O199" t="s">
        <v>252</v>
      </c>
      <c r="P199" t="str">
        <f>_xlfn.XLOOKUP(responses[[#This Row],[reason_for_purchase_free_response]],reason[reason_for_purchase_free_response],reason[reason_for_purchase])</f>
        <v>benefits</v>
      </c>
      <c r="Q199" t="s">
        <v>12</v>
      </c>
      <c r="R199" t="s">
        <v>31</v>
      </c>
      <c r="S199" t="s">
        <v>8</v>
      </c>
    </row>
    <row r="200" spans="11:19">
      <c r="K200" t="s">
        <v>507</v>
      </c>
      <c r="L200" t="s">
        <v>153</v>
      </c>
      <c r="M200" t="str">
        <f>_xlfn.XLOOKUP(responses[[#This Row],[plant_types]],plant_info[plant],plant_info[maintenance-requirements])</f>
        <v>med-maintenance</v>
      </c>
      <c r="N200" t="str">
        <f>_xlfn.XLOOKUP(responses[[#This Row],[plant_types]],plant_info[plant],plant_info[toxic])</f>
        <v>safe for pets &amp; children</v>
      </c>
      <c r="O200" t="s">
        <v>253</v>
      </c>
      <c r="P200" t="str">
        <f>_xlfn.XLOOKUP(responses[[#This Row],[reason_for_purchase_free_response]],reason[reason_for_purchase_free_response],reason[reason_for_purchase])</f>
        <v>price</v>
      </c>
      <c r="Q200" t="s">
        <v>12</v>
      </c>
      <c r="R200" t="s">
        <v>24</v>
      </c>
      <c r="S200" t="s">
        <v>21</v>
      </c>
    </row>
    <row r="201" spans="11:19">
      <c r="K201" t="s">
        <v>508</v>
      </c>
      <c r="L201" t="s">
        <v>15</v>
      </c>
      <c r="M201" t="str">
        <f>_xlfn.XLOOKUP(responses[[#This Row],[plant_types]],plant_info[plant],plant_info[maintenance-requirements])</f>
        <v>low-maintenance</v>
      </c>
      <c r="N201" t="str">
        <f>_xlfn.XLOOKUP(responses[[#This Row],[plant_types]],plant_info[plant],plant_info[toxic])</f>
        <v>safe for pets &amp; children</v>
      </c>
      <c r="O201" t="s">
        <v>254</v>
      </c>
      <c r="P201" t="str">
        <f>_xlfn.XLOOKUP(responses[[#This Row],[reason_for_purchase_free_response]],reason[reason_for_purchase_free_response],reason[reason_for_purchase])</f>
        <v>pet-friendly or safe for children</v>
      </c>
      <c r="Q201" t="s">
        <v>12</v>
      </c>
      <c r="R201" t="s">
        <v>24</v>
      </c>
      <c r="S201" t="s">
        <v>13</v>
      </c>
    </row>
    <row r="202" spans="11:19">
      <c r="K202" t="s">
        <v>509</v>
      </c>
      <c r="L202" t="s">
        <v>47</v>
      </c>
      <c r="M202" t="str">
        <f>_xlfn.XLOOKUP(responses[[#This Row],[plant_types]],plant_info[plant],plant_info[maintenance-requirements])</f>
        <v>low-maintenance</v>
      </c>
      <c r="N202" t="str">
        <f>_xlfn.XLOOKUP(responses[[#This Row],[plant_types]],plant_info[plant],plant_info[toxic])</f>
        <v>safe for pets &amp; children</v>
      </c>
      <c r="O202" t="s">
        <v>255</v>
      </c>
      <c r="P202" t="str">
        <f>_xlfn.XLOOKUP(responses[[#This Row],[reason_for_purchase_free_response]],reason[reason_for_purchase_free_response],reason[reason_for_purchase])</f>
        <v>rare or unique species</v>
      </c>
      <c r="Q202" t="s">
        <v>6</v>
      </c>
      <c r="R202" t="s">
        <v>39</v>
      </c>
      <c r="S202" t="s">
        <v>8</v>
      </c>
    </row>
    <row r="203" spans="11:19">
      <c r="K203" t="s">
        <v>510</v>
      </c>
      <c r="L203" t="s">
        <v>41</v>
      </c>
      <c r="M203" t="str">
        <f>_xlfn.XLOOKUP(responses[[#This Row],[plant_types]],plant_info[plant],plant_info[maintenance-requirements])</f>
        <v>low-maintenance</v>
      </c>
      <c r="N203" t="str">
        <f>_xlfn.XLOOKUP(responses[[#This Row],[plant_types]],plant_info[plant],plant_info[toxic])</f>
        <v>safe for pets &amp; children</v>
      </c>
      <c r="O203" t="s">
        <v>256</v>
      </c>
      <c r="P203" t="str">
        <f>_xlfn.XLOOKUP(responses[[#This Row],[reason_for_purchase_free_response]],reason[reason_for_purchase_free_response],reason[reason_for_purchase])</f>
        <v>size</v>
      </c>
      <c r="Q203" t="s">
        <v>6</v>
      </c>
      <c r="R203" t="s">
        <v>24</v>
      </c>
      <c r="S203" t="s">
        <v>35</v>
      </c>
    </row>
    <row r="204" spans="11:19">
      <c r="K204" t="s">
        <v>511</v>
      </c>
      <c r="L204" t="s">
        <v>20</v>
      </c>
      <c r="M204" t="str">
        <f>_xlfn.XLOOKUP(responses[[#This Row],[plant_types]],plant_info[plant],plant_info[maintenance-requirements])</f>
        <v>low-maintenance</v>
      </c>
      <c r="N204" t="str">
        <f>_xlfn.XLOOKUP(responses[[#This Row],[plant_types]],plant_info[plant],plant_info[toxic])</f>
        <v>safe for pets &amp; children</v>
      </c>
      <c r="O204" t="s">
        <v>257</v>
      </c>
      <c r="P204" t="str">
        <f>_xlfn.XLOOKUP(responses[[#This Row],[reason_for_purchase_free_response]],reason[reason_for_purchase_free_response],reason[reason_for_purchase])</f>
        <v>rare or unique species</v>
      </c>
      <c r="Q204" t="s">
        <v>6</v>
      </c>
      <c r="R204" t="s">
        <v>18</v>
      </c>
      <c r="S204" t="s">
        <v>25</v>
      </c>
    </row>
    <row r="205" spans="11:19">
      <c r="K205" t="s">
        <v>512</v>
      </c>
      <c r="L205" t="s">
        <v>225</v>
      </c>
      <c r="M205" t="str">
        <f>_xlfn.XLOOKUP(responses[[#This Row],[plant_types]],plant_info[plant],plant_info[maintenance-requirements])</f>
        <v>med-maintenance</v>
      </c>
      <c r="N205" t="str">
        <f>_xlfn.XLOOKUP(responses[[#This Row],[plant_types]],plant_info[plant],plant_info[toxic])</f>
        <v>safe for pets &amp; children</v>
      </c>
      <c r="O205" t="s">
        <v>258</v>
      </c>
      <c r="P205" t="str">
        <f>_xlfn.XLOOKUP(responses[[#This Row],[reason_for_purchase_free_response]],reason[reason_for_purchase_free_response],reason[reason_for_purchase])</f>
        <v>care requirements</v>
      </c>
      <c r="Q205" t="s">
        <v>6</v>
      </c>
      <c r="R205" t="s">
        <v>7</v>
      </c>
      <c r="S205" t="s">
        <v>21</v>
      </c>
    </row>
    <row r="206" spans="11:19">
      <c r="K206" t="s">
        <v>513</v>
      </c>
      <c r="L206" t="s">
        <v>47</v>
      </c>
      <c r="M206" t="str">
        <f>_xlfn.XLOOKUP(responses[[#This Row],[plant_types]],plant_info[plant],plant_info[maintenance-requirements])</f>
        <v>low-maintenance</v>
      </c>
      <c r="N206" t="str">
        <f>_xlfn.XLOOKUP(responses[[#This Row],[plant_types]],plant_info[plant],plant_info[toxic])</f>
        <v>safe for pets &amp; children</v>
      </c>
      <c r="O206" t="s">
        <v>259</v>
      </c>
      <c r="P206" t="str">
        <f>_xlfn.XLOOKUP(responses[[#This Row],[reason_for_purchase_free_response]],reason[reason_for_purchase_free_response],reason[reason_for_purchase])</f>
        <v>benefits</v>
      </c>
      <c r="Q206" t="s">
        <v>6</v>
      </c>
      <c r="R206" t="s">
        <v>31</v>
      </c>
      <c r="S206" t="s">
        <v>25</v>
      </c>
    </row>
    <row r="207" spans="11:19">
      <c r="K207" t="s">
        <v>514</v>
      </c>
      <c r="L207" t="s">
        <v>41</v>
      </c>
      <c r="M207" t="str">
        <f>_xlfn.XLOOKUP(responses[[#This Row],[plant_types]],plant_info[plant],plant_info[maintenance-requirements])</f>
        <v>low-maintenance</v>
      </c>
      <c r="N207" t="str">
        <f>_xlfn.XLOOKUP(responses[[#This Row],[plant_types]],plant_info[plant],plant_info[toxic])</f>
        <v>safe for pets &amp; children</v>
      </c>
      <c r="O207" t="s">
        <v>260</v>
      </c>
      <c r="P207" t="str">
        <f>_xlfn.XLOOKUP(responses[[#This Row],[reason_for_purchase_free_response]],reason[reason_for_purchase_free_response],reason[reason_for_purchase])</f>
        <v>pet-friendly or safe for children</v>
      </c>
      <c r="Q207" t="s">
        <v>12</v>
      </c>
      <c r="R207" t="s">
        <v>7</v>
      </c>
      <c r="S207" t="s">
        <v>13</v>
      </c>
    </row>
    <row r="208" spans="11:19">
      <c r="K208" t="s">
        <v>515</v>
      </c>
      <c r="L208" t="s">
        <v>27</v>
      </c>
      <c r="M208" t="str">
        <f>_xlfn.XLOOKUP(responses[[#This Row],[plant_types]],plant_info[plant],plant_info[maintenance-requirements])</f>
        <v>med-maintenance</v>
      </c>
      <c r="N208" t="str">
        <f>_xlfn.XLOOKUP(responses[[#This Row],[plant_types]],plant_info[plant],plant_info[toxic])</f>
        <v>safe for pets &amp; children</v>
      </c>
      <c r="O208" t="s">
        <v>261</v>
      </c>
      <c r="P208" t="str">
        <f>_xlfn.XLOOKUP(responses[[#This Row],[reason_for_purchase_free_response]],reason[reason_for_purchase_free_response],reason[reason_for_purchase])</f>
        <v>pet-friendly or safe for children</v>
      </c>
      <c r="Q208" t="s">
        <v>28</v>
      </c>
      <c r="R208" t="s">
        <v>39</v>
      </c>
      <c r="S208" t="s">
        <v>25</v>
      </c>
    </row>
    <row r="209" spans="11:19">
      <c r="K209" t="s">
        <v>516</v>
      </c>
      <c r="L209" t="s">
        <v>15</v>
      </c>
      <c r="M209" t="str">
        <f>_xlfn.XLOOKUP(responses[[#This Row],[plant_types]],plant_info[plant],plant_info[maintenance-requirements])</f>
        <v>low-maintenance</v>
      </c>
      <c r="N209" t="str">
        <f>_xlfn.XLOOKUP(responses[[#This Row],[plant_types]],plant_info[plant],plant_info[toxic])</f>
        <v>safe for pets &amp; children</v>
      </c>
      <c r="O209" t="s">
        <v>262</v>
      </c>
      <c r="P209" t="str">
        <f>_xlfn.XLOOKUP(responses[[#This Row],[reason_for_purchase_free_response]],reason[reason_for_purchase_free_response],reason[reason_for_purchase])</f>
        <v>care requirements</v>
      </c>
      <c r="Q209" t="s">
        <v>17</v>
      </c>
      <c r="R209" t="s">
        <v>7</v>
      </c>
      <c r="S209" t="s">
        <v>8</v>
      </c>
    </row>
    <row r="210" spans="11:19">
      <c r="K210" t="s">
        <v>517</v>
      </c>
      <c r="L210" t="s">
        <v>51</v>
      </c>
      <c r="M210" t="str">
        <f>_xlfn.XLOOKUP(responses[[#This Row],[plant_types]],plant_info[plant],plant_info[maintenance-requirements])</f>
        <v>med-maintenance</v>
      </c>
      <c r="N210" t="str">
        <f>_xlfn.XLOOKUP(responses[[#This Row],[plant_types]],plant_info[plant],plant_info[toxic])</f>
        <v>safe for pets &amp; children</v>
      </c>
      <c r="O210" t="s">
        <v>263</v>
      </c>
      <c r="P210" t="str">
        <f>_xlfn.XLOOKUP(responses[[#This Row],[reason_for_purchase_free_response]],reason[reason_for_purchase_free_response],reason[reason_for_purchase])</f>
        <v>benefits</v>
      </c>
      <c r="Q210" t="s">
        <v>12</v>
      </c>
      <c r="R210" t="s">
        <v>7</v>
      </c>
      <c r="S210" t="s">
        <v>105</v>
      </c>
    </row>
    <row r="211" spans="11:19">
      <c r="K211" t="s">
        <v>518</v>
      </c>
      <c r="L211" t="s">
        <v>49</v>
      </c>
      <c r="M211" t="str">
        <f>_xlfn.XLOOKUP(responses[[#This Row],[plant_types]],plant_info[plant],plant_info[maintenance-requirements])</f>
        <v>low-maintenance</v>
      </c>
      <c r="N211" t="str">
        <f>_xlfn.XLOOKUP(responses[[#This Row],[plant_types]],plant_info[plant],plant_info[toxic])</f>
        <v>safe for pets &amp; children</v>
      </c>
      <c r="O211" t="s">
        <v>264</v>
      </c>
      <c r="P211" t="str">
        <f>_xlfn.XLOOKUP(responses[[#This Row],[reason_for_purchase_free_response]],reason[reason_for_purchase_free_response],reason[reason_for_purchase])</f>
        <v>rare or unique species</v>
      </c>
      <c r="Q211" t="s">
        <v>28</v>
      </c>
      <c r="R211" t="s">
        <v>39</v>
      </c>
      <c r="S211" t="s">
        <v>13</v>
      </c>
    </row>
    <row r="212" spans="11:19">
      <c r="K212" t="s">
        <v>519</v>
      </c>
      <c r="L212" t="s">
        <v>41</v>
      </c>
      <c r="M212" t="str">
        <f>_xlfn.XLOOKUP(responses[[#This Row],[plant_types]],plant_info[plant],plant_info[maintenance-requirements])</f>
        <v>low-maintenance</v>
      </c>
      <c r="N212" t="str">
        <f>_xlfn.XLOOKUP(responses[[#This Row],[plant_types]],plant_info[plant],plant_info[toxic])</f>
        <v>safe for pets &amp; children</v>
      </c>
      <c r="O212" t="s">
        <v>265</v>
      </c>
      <c r="P212" t="str">
        <f>_xlfn.XLOOKUP(responses[[#This Row],[reason_for_purchase_free_response]],reason[reason_for_purchase_free_response],reason[reason_for_purchase])</f>
        <v>care requirements</v>
      </c>
      <c r="Q212" t="s">
        <v>6</v>
      </c>
      <c r="R212" t="s">
        <v>7</v>
      </c>
      <c r="S212" t="s">
        <v>8</v>
      </c>
    </row>
    <row r="213" spans="11:19">
      <c r="K213" t="s">
        <v>520</v>
      </c>
      <c r="L213" t="s">
        <v>49</v>
      </c>
      <c r="M213" t="str">
        <f>_xlfn.XLOOKUP(responses[[#This Row],[plant_types]],plant_info[plant],plant_info[maintenance-requirements])</f>
        <v>low-maintenance</v>
      </c>
      <c r="N213" t="str">
        <f>_xlfn.XLOOKUP(responses[[#This Row],[plant_types]],plant_info[plant],plant_info[toxic])</f>
        <v>safe for pets &amp; children</v>
      </c>
      <c r="O213" t="s">
        <v>266</v>
      </c>
      <c r="P213" t="str">
        <f>_xlfn.XLOOKUP(responses[[#This Row],[reason_for_purchase_free_response]],reason[reason_for_purchase_free_response],reason[reason_for_purchase])</f>
        <v>pet-friendly or safe for children</v>
      </c>
      <c r="Q213" t="s">
        <v>17</v>
      </c>
      <c r="R213" t="s">
        <v>7</v>
      </c>
      <c r="S213" t="s">
        <v>21</v>
      </c>
    </row>
    <row r="214" spans="11:19">
      <c r="K214" t="s">
        <v>521</v>
      </c>
      <c r="L214" t="s">
        <v>49</v>
      </c>
      <c r="M214" t="str">
        <f>_xlfn.XLOOKUP(responses[[#This Row],[plant_types]],plant_info[plant],plant_info[maintenance-requirements])</f>
        <v>low-maintenance</v>
      </c>
      <c r="N214" t="str">
        <f>_xlfn.XLOOKUP(responses[[#This Row],[plant_types]],plant_info[plant],plant_info[toxic])</f>
        <v>safe for pets &amp; children</v>
      </c>
      <c r="O214" t="s">
        <v>267</v>
      </c>
      <c r="P214" t="str">
        <f>_xlfn.XLOOKUP(responses[[#This Row],[reason_for_purchase_free_response]],reason[reason_for_purchase_free_response],reason[reason_for_purchase])</f>
        <v>care requirements</v>
      </c>
      <c r="Q214" t="s">
        <v>12</v>
      </c>
      <c r="R214" t="s">
        <v>18</v>
      </c>
      <c r="S214" t="s">
        <v>25</v>
      </c>
    </row>
    <row r="215" spans="11:19">
      <c r="K215" t="s">
        <v>522</v>
      </c>
      <c r="L215" t="s">
        <v>30</v>
      </c>
      <c r="M215" t="str">
        <f>_xlfn.XLOOKUP(responses[[#This Row],[plant_types]],plant_info[plant],plant_info[maintenance-requirements])</f>
        <v>low-maintenance</v>
      </c>
      <c r="N215" t="str">
        <f>_xlfn.XLOOKUP(responses[[#This Row],[plant_types]],plant_info[plant],plant_info[toxic])</f>
        <v>safe for pets &amp; children</v>
      </c>
      <c r="O215" t="s">
        <v>268</v>
      </c>
      <c r="P215" t="str">
        <f>_xlfn.XLOOKUP(responses[[#This Row],[reason_for_purchase_free_response]],reason[reason_for_purchase_free_response],reason[reason_for_purchase])</f>
        <v>pet-friendly or safe for children</v>
      </c>
      <c r="Q215" t="s">
        <v>17</v>
      </c>
      <c r="R215" t="s">
        <v>7</v>
      </c>
      <c r="S215" t="s">
        <v>21</v>
      </c>
    </row>
    <row r="216" spans="11:19">
      <c r="K216" t="s">
        <v>523</v>
      </c>
      <c r="L216" t="s">
        <v>49</v>
      </c>
      <c r="M216" t="str">
        <f>_xlfn.XLOOKUP(responses[[#This Row],[plant_types]],plant_info[plant],plant_info[maintenance-requirements])</f>
        <v>low-maintenance</v>
      </c>
      <c r="N216" t="str">
        <f>_xlfn.XLOOKUP(responses[[#This Row],[plant_types]],plant_info[plant],plant_info[toxic])</f>
        <v>safe for pets &amp; children</v>
      </c>
      <c r="O216" t="s">
        <v>269</v>
      </c>
      <c r="P216" t="str">
        <f>_xlfn.XLOOKUP(responses[[#This Row],[reason_for_purchase_free_response]],reason[reason_for_purchase_free_response],reason[reason_for_purchase])</f>
        <v>care requirements</v>
      </c>
      <c r="Q216" t="s">
        <v>6</v>
      </c>
      <c r="R216" t="s">
        <v>18</v>
      </c>
      <c r="S216" t="s">
        <v>21</v>
      </c>
    </row>
    <row r="217" spans="11:19">
      <c r="K217" t="s">
        <v>524</v>
      </c>
      <c r="L217" t="s">
        <v>121</v>
      </c>
      <c r="M217" t="str">
        <f>_xlfn.XLOOKUP(responses[[#This Row],[plant_types]],plant_info[plant],plant_info[maintenance-requirements])</f>
        <v>high-maintenance</v>
      </c>
      <c r="N217" t="str">
        <f>_xlfn.XLOOKUP(responses[[#This Row],[plant_types]],plant_info[plant],plant_info[toxic])</f>
        <v>safe for pets &amp; children</v>
      </c>
      <c r="O217" t="s">
        <v>270</v>
      </c>
      <c r="P217" t="str">
        <f>_xlfn.XLOOKUP(responses[[#This Row],[reason_for_purchase_free_response]],reason[reason_for_purchase_free_response],reason[reason_for_purchase])</f>
        <v>size</v>
      </c>
      <c r="Q217" t="s">
        <v>17</v>
      </c>
      <c r="R217" t="s">
        <v>24</v>
      </c>
      <c r="S217" t="s">
        <v>21</v>
      </c>
    </row>
    <row r="218" spans="11:19">
      <c r="K218" t="s">
        <v>525</v>
      </c>
      <c r="L218" t="s">
        <v>41</v>
      </c>
      <c r="M218" t="str">
        <f>_xlfn.XLOOKUP(responses[[#This Row],[plant_types]],plant_info[plant],plant_info[maintenance-requirements])</f>
        <v>low-maintenance</v>
      </c>
      <c r="N218" t="str">
        <f>_xlfn.XLOOKUP(responses[[#This Row],[plant_types]],plant_info[plant],plant_info[toxic])</f>
        <v>safe for pets &amp; children</v>
      </c>
      <c r="O218" t="s">
        <v>271</v>
      </c>
      <c r="P218" t="str">
        <f>_xlfn.XLOOKUP(responses[[#This Row],[reason_for_purchase_free_response]],reason[reason_for_purchase_free_response],reason[reason_for_purchase])</f>
        <v>pet-friendly or safe for children</v>
      </c>
      <c r="Q218" t="s">
        <v>6</v>
      </c>
      <c r="R218" t="s">
        <v>24</v>
      </c>
      <c r="S218" t="s">
        <v>8</v>
      </c>
    </row>
  </sheetData>
  <mergeCells count="47">
    <mergeCell ref="B49:D49"/>
    <mergeCell ref="B50:D55"/>
    <mergeCell ref="B36:B38"/>
    <mergeCell ref="A36:A38"/>
    <mergeCell ref="C36:C38"/>
    <mergeCell ref="A49:A55"/>
    <mergeCell ref="A43:D44"/>
    <mergeCell ref="B39:B40"/>
    <mergeCell ref="A39:A40"/>
    <mergeCell ref="C39:C40"/>
    <mergeCell ref="A42:D42"/>
    <mergeCell ref="D36:D40"/>
    <mergeCell ref="B45:D48"/>
    <mergeCell ref="A45:A48"/>
    <mergeCell ref="A1:D3"/>
    <mergeCell ref="A15:A17"/>
    <mergeCell ref="B15:D17"/>
    <mergeCell ref="A12:A14"/>
    <mergeCell ref="B12:D14"/>
    <mergeCell ref="A10:D11"/>
    <mergeCell ref="A23:A24"/>
    <mergeCell ref="C23:C24"/>
    <mergeCell ref="B18:C19"/>
    <mergeCell ref="A9:D9"/>
    <mergeCell ref="C20:D20"/>
    <mergeCell ref="B21:B22"/>
    <mergeCell ref="A21:A22"/>
    <mergeCell ref="C21:C22"/>
    <mergeCell ref="D21:D22"/>
    <mergeCell ref="A18:A19"/>
    <mergeCell ref="D18:D19"/>
    <mergeCell ref="F18:H18"/>
    <mergeCell ref="F33:H33"/>
    <mergeCell ref="A4:D5"/>
    <mergeCell ref="B6:D6"/>
    <mergeCell ref="B7:D7"/>
    <mergeCell ref="B8:D8"/>
    <mergeCell ref="D23:D24"/>
    <mergeCell ref="D30:D32"/>
    <mergeCell ref="D33:D35"/>
    <mergeCell ref="A33:A35"/>
    <mergeCell ref="B33:C35"/>
    <mergeCell ref="B30:C32"/>
    <mergeCell ref="A30:A32"/>
    <mergeCell ref="A27:D29"/>
    <mergeCell ref="A26:D26"/>
    <mergeCell ref="B23:B24"/>
  </mergeCells>
  <conditionalFormatting sqref="M1:N218 P1:P218">
    <cfRule type="expression" dxfId="3" priority="6" stopIfTrue="1">
      <formula>MOD(ROW(),2)=0</formula>
    </cfRule>
  </conditionalFormatting>
  <pageMargins left="0.75" right="0.75" top="1" bottom="1" header="0.5" footer="0.5"/>
  <pageSetup orientation="portrait" horizontalDpi="0" verticalDpi="0"/>
  <legacy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expression" priority="1" stopIfTrue="1" id="{796236AB-EFD5-9647-A90E-DF0115F5488C}">
            <xm:f>TRIM(LOWER($C$20))=Solutions!$B$2</xm:f>
            <x14:dxf>
              <fill>
                <patternFill>
                  <bgColor rgb="FF92D050"/>
                </patternFill>
              </fill>
            </x14:dxf>
          </x14:cfRule>
          <xm:sqref>A20</xm:sqref>
        </x14:conditionalFormatting>
        <x14:conditionalFormatting xmlns:xm="http://schemas.microsoft.com/office/excel/2006/main">
          <x14:cfRule type="expression" priority="5" id="{9C9D1CA1-CEE4-0940-9F71-B5E14088A8A7}">
            <xm:f>ABS($C$21-Solutions!$B$3)&lt;Solutions!$C$3</xm:f>
            <x14:dxf>
              <fill>
                <patternFill>
                  <bgColor rgb="FF92D050"/>
                </patternFill>
              </fill>
            </x14:dxf>
          </x14:cfRule>
          <xm:sqref>A21:A22</xm:sqref>
        </x14:conditionalFormatting>
        <x14:conditionalFormatting xmlns:xm="http://schemas.microsoft.com/office/excel/2006/main">
          <x14:cfRule type="expression" priority="4" id="{217F548C-A826-444A-88C5-5C2E4CCFB949}">
            <xm:f>ABS($C$23-Solutions!$B$4)&lt;Solutions!$C$4</xm:f>
            <x14:dxf>
              <fill>
                <patternFill>
                  <bgColor rgb="FF92D050"/>
                </patternFill>
              </fill>
            </x14:dxf>
          </x14:cfRule>
          <xm:sqref>A23:A24</xm:sqref>
        </x14:conditionalFormatting>
        <x14:conditionalFormatting xmlns:xm="http://schemas.microsoft.com/office/excel/2006/main">
          <x14:cfRule type="expression" priority="3" id="{82D3FF44-BE32-B148-A13E-0B699BB0BA59}">
            <xm:f>ABS($C$36-Solutions!$B$5)&lt;Solutions!$C$5</xm:f>
            <x14:dxf>
              <fill>
                <patternFill>
                  <bgColor rgb="FF92D050"/>
                </patternFill>
              </fill>
            </x14:dxf>
          </x14:cfRule>
          <xm:sqref>C36:C38</xm:sqref>
        </x14:conditionalFormatting>
        <x14:conditionalFormatting xmlns:xm="http://schemas.microsoft.com/office/excel/2006/main">
          <x14:cfRule type="expression" priority="2" id="{10229B46-81DF-174B-9AFA-A7AC47F85F4B}">
            <xm:f>ABS($C$39-Solutions!$B$6)&lt;Solutions!$C$6</xm:f>
            <x14:dxf>
              <fill>
                <patternFill>
                  <bgColor rgb="FF92D050"/>
                </patternFill>
              </fill>
            </x14:dxf>
          </x14:cfRule>
          <xm:sqref>C39:C40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8E5B-55B2-F94D-B21E-B3C598172A78}">
  <sheetPr codeName="Sheet5"/>
  <dimension ref="A1:C6"/>
  <sheetViews>
    <sheetView workbookViewId="0">
      <selection activeCell="D26" sqref="D26"/>
    </sheetView>
  </sheetViews>
  <sheetFormatPr baseColWidth="10" defaultRowHeight="16"/>
  <cols>
    <col min="2" max="2" width="21.1640625" bestFit="1" customWidth="1"/>
  </cols>
  <sheetData>
    <row r="1" spans="1:3">
      <c r="A1" s="11" t="s">
        <v>579</v>
      </c>
      <c r="B1" s="11" t="s">
        <v>580</v>
      </c>
      <c r="C1" s="11" t="s">
        <v>581</v>
      </c>
    </row>
    <row r="2" spans="1:3">
      <c r="A2" s="12" t="s">
        <v>582</v>
      </c>
      <c r="B2" s="12" t="s">
        <v>587</v>
      </c>
      <c r="C2" s="12"/>
    </row>
    <row r="3" spans="1:3">
      <c r="A3" s="12" t="s">
        <v>583</v>
      </c>
      <c r="B3" s="13">
        <v>0.79259999999999997</v>
      </c>
      <c r="C3" s="12">
        <v>5.0000000000000001E-4</v>
      </c>
    </row>
    <row r="4" spans="1:3">
      <c r="A4" s="12" t="s">
        <v>584</v>
      </c>
      <c r="B4" s="13">
        <v>0.99539999999999995</v>
      </c>
      <c r="C4" s="12">
        <v>5.0000000000000001E-4</v>
      </c>
    </row>
    <row r="5" spans="1:3">
      <c r="A5" s="12" t="s">
        <v>585</v>
      </c>
      <c r="B5" s="13">
        <v>0.26729999999999998</v>
      </c>
      <c r="C5" s="12">
        <v>5.0000000000000001E-4</v>
      </c>
    </row>
    <row r="6" spans="1:3">
      <c r="A6" s="12" t="s">
        <v>586</v>
      </c>
      <c r="B6" s="13">
        <v>0.2581</v>
      </c>
      <c r="C6" s="12">
        <v>5.0000000000000001E-4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47"/>
  <sheetViews>
    <sheetView topLeftCell="A19" zoomScale="119" workbookViewId="0">
      <selection activeCell="A9" sqref="A9"/>
    </sheetView>
  </sheetViews>
  <sheetFormatPr baseColWidth="10" defaultColWidth="10.6640625" defaultRowHeight="16"/>
  <cols>
    <col min="1" max="1" width="17" bestFit="1" customWidth="1"/>
    <col min="2" max="2" width="19.1640625" bestFit="1" customWidth="1"/>
    <col min="3" max="3" width="20.33203125" bestFit="1" customWidth="1"/>
    <col min="4" max="4" width="26.33203125" bestFit="1" customWidth="1"/>
    <col min="5" max="5" width="20.5" bestFit="1" customWidth="1"/>
  </cols>
  <sheetData>
    <row r="1" spans="1:5">
      <c r="A1" t="s">
        <v>304</v>
      </c>
      <c r="B1" t="s">
        <v>274</v>
      </c>
      <c r="C1" t="s">
        <v>275</v>
      </c>
      <c r="D1" t="s">
        <v>277</v>
      </c>
      <c r="E1" t="s">
        <v>276</v>
      </c>
    </row>
    <row r="2" spans="1:5">
      <c r="A2" t="s">
        <v>278</v>
      </c>
      <c r="B2" t="s">
        <v>279</v>
      </c>
      <c r="C2" t="s">
        <v>280</v>
      </c>
      <c r="D2" t="s">
        <v>282</v>
      </c>
      <c r="E2" t="s">
        <v>281</v>
      </c>
    </row>
    <row r="3" spans="1:5">
      <c r="A3" t="s">
        <v>20</v>
      </c>
      <c r="B3" t="s">
        <v>283</v>
      </c>
      <c r="C3" t="s">
        <v>284</v>
      </c>
      <c r="D3" t="s">
        <v>285</v>
      </c>
      <c r="E3" t="s">
        <v>281</v>
      </c>
    </row>
    <row r="4" spans="1:5">
      <c r="A4" t="s">
        <v>75</v>
      </c>
      <c r="B4" t="s">
        <v>279</v>
      </c>
      <c r="C4" t="s">
        <v>284</v>
      </c>
      <c r="D4" t="s">
        <v>286</v>
      </c>
      <c r="E4" t="s">
        <v>281</v>
      </c>
    </row>
    <row r="5" spans="1:5">
      <c r="A5" t="s">
        <v>287</v>
      </c>
      <c r="B5" t="s">
        <v>279</v>
      </c>
      <c r="C5" t="s">
        <v>280</v>
      </c>
      <c r="D5" t="s">
        <v>282</v>
      </c>
      <c r="E5" t="s">
        <v>281</v>
      </c>
    </row>
    <row r="6" spans="1:5">
      <c r="A6" t="s">
        <v>288</v>
      </c>
      <c r="B6" t="s">
        <v>283</v>
      </c>
      <c r="C6" t="s">
        <v>280</v>
      </c>
      <c r="D6" t="s">
        <v>282</v>
      </c>
      <c r="E6" t="s">
        <v>276</v>
      </c>
    </row>
    <row r="7" spans="1:5">
      <c r="A7" t="s">
        <v>49</v>
      </c>
      <c r="B7" t="s">
        <v>283</v>
      </c>
      <c r="C7" t="s">
        <v>284</v>
      </c>
      <c r="D7" t="s">
        <v>285</v>
      </c>
      <c r="E7" t="s">
        <v>281</v>
      </c>
    </row>
    <row r="8" spans="1:5">
      <c r="A8" t="s">
        <v>289</v>
      </c>
      <c r="B8" t="s">
        <v>279</v>
      </c>
      <c r="C8" t="s">
        <v>280</v>
      </c>
      <c r="D8" t="s">
        <v>282</v>
      </c>
      <c r="E8" t="s">
        <v>281</v>
      </c>
    </row>
    <row r="9" spans="1:5">
      <c r="A9" t="s">
        <v>290</v>
      </c>
      <c r="B9" t="s">
        <v>283</v>
      </c>
      <c r="C9" t="s">
        <v>280</v>
      </c>
      <c r="D9" t="s">
        <v>282</v>
      </c>
      <c r="E9" t="s">
        <v>276</v>
      </c>
    </row>
    <row r="10" spans="1:5">
      <c r="A10" t="s">
        <v>27</v>
      </c>
      <c r="B10" t="s">
        <v>279</v>
      </c>
      <c r="C10" t="s">
        <v>284</v>
      </c>
      <c r="D10" t="s">
        <v>286</v>
      </c>
      <c r="E10" t="s">
        <v>281</v>
      </c>
    </row>
    <row r="11" spans="1:5">
      <c r="A11" t="s">
        <v>291</v>
      </c>
      <c r="B11" t="s">
        <v>292</v>
      </c>
      <c r="C11" t="s">
        <v>280</v>
      </c>
      <c r="D11" t="s">
        <v>282</v>
      </c>
      <c r="E11" t="s">
        <v>276</v>
      </c>
    </row>
    <row r="12" spans="1:5">
      <c r="A12" t="s">
        <v>57</v>
      </c>
      <c r="B12" t="s">
        <v>279</v>
      </c>
      <c r="C12" t="s">
        <v>280</v>
      </c>
      <c r="D12" t="s">
        <v>282</v>
      </c>
      <c r="E12" t="s">
        <v>281</v>
      </c>
    </row>
    <row r="13" spans="1:5">
      <c r="A13" t="s">
        <v>153</v>
      </c>
      <c r="B13" t="s">
        <v>279</v>
      </c>
      <c r="C13" t="s">
        <v>284</v>
      </c>
      <c r="D13" t="s">
        <v>286</v>
      </c>
      <c r="E13" t="s">
        <v>281</v>
      </c>
    </row>
    <row r="14" spans="1:5">
      <c r="A14" t="s">
        <v>206</v>
      </c>
      <c r="B14" t="s">
        <v>292</v>
      </c>
      <c r="C14" t="s">
        <v>280</v>
      </c>
      <c r="D14" t="s">
        <v>282</v>
      </c>
      <c r="E14" t="s">
        <v>281</v>
      </c>
    </row>
    <row r="15" spans="1:5">
      <c r="A15" t="s">
        <v>293</v>
      </c>
      <c r="B15" t="s">
        <v>283</v>
      </c>
      <c r="C15" t="s">
        <v>284</v>
      </c>
      <c r="D15" t="s">
        <v>285</v>
      </c>
      <c r="E15" t="s">
        <v>276</v>
      </c>
    </row>
    <row r="16" spans="1:5">
      <c r="A16" t="s">
        <v>294</v>
      </c>
      <c r="B16" t="s">
        <v>283</v>
      </c>
      <c r="C16" t="s">
        <v>284</v>
      </c>
      <c r="D16" t="s">
        <v>285</v>
      </c>
      <c r="E16" t="s">
        <v>276</v>
      </c>
    </row>
    <row r="17" spans="1:5">
      <c r="A17" t="s">
        <v>295</v>
      </c>
      <c r="B17" t="s">
        <v>279</v>
      </c>
      <c r="C17" t="s">
        <v>284</v>
      </c>
      <c r="D17" t="s">
        <v>286</v>
      </c>
      <c r="E17" t="s">
        <v>281</v>
      </c>
    </row>
    <row r="18" spans="1:5">
      <c r="A18" t="s">
        <v>15</v>
      </c>
      <c r="B18" t="s">
        <v>283</v>
      </c>
      <c r="C18" t="s">
        <v>284</v>
      </c>
      <c r="D18" t="s">
        <v>285</v>
      </c>
      <c r="E18" t="s">
        <v>281</v>
      </c>
    </row>
    <row r="19" spans="1:5">
      <c r="A19" t="s">
        <v>23</v>
      </c>
      <c r="B19" t="s">
        <v>292</v>
      </c>
      <c r="C19" t="s">
        <v>284</v>
      </c>
      <c r="D19" t="s">
        <v>286</v>
      </c>
      <c r="E19" t="s">
        <v>281</v>
      </c>
    </row>
    <row r="20" spans="1:5">
      <c r="A20" t="s">
        <v>273</v>
      </c>
      <c r="B20" t="s">
        <v>292</v>
      </c>
      <c r="C20" t="s">
        <v>284</v>
      </c>
      <c r="D20" t="s">
        <v>286</v>
      </c>
      <c r="E20" t="s">
        <v>281</v>
      </c>
    </row>
    <row r="21" spans="1:5">
      <c r="A21" t="s">
        <v>33</v>
      </c>
      <c r="B21" t="s">
        <v>292</v>
      </c>
      <c r="C21" t="s">
        <v>284</v>
      </c>
      <c r="D21" t="s">
        <v>286</v>
      </c>
      <c r="E21" t="s">
        <v>281</v>
      </c>
    </row>
    <row r="22" spans="1:5">
      <c r="A22" t="s">
        <v>296</v>
      </c>
      <c r="B22" t="s">
        <v>283</v>
      </c>
      <c r="C22" t="s">
        <v>280</v>
      </c>
      <c r="D22" t="s">
        <v>282</v>
      </c>
      <c r="E22" t="s">
        <v>281</v>
      </c>
    </row>
    <row r="23" spans="1:5">
      <c r="A23" t="s">
        <v>225</v>
      </c>
      <c r="B23" t="s">
        <v>292</v>
      </c>
      <c r="C23" t="s">
        <v>284</v>
      </c>
      <c r="D23" t="s">
        <v>286</v>
      </c>
      <c r="E23" t="s">
        <v>281</v>
      </c>
    </row>
    <row r="24" spans="1:5">
      <c r="A24" t="s">
        <v>81</v>
      </c>
      <c r="B24" t="s">
        <v>292</v>
      </c>
      <c r="C24" t="s">
        <v>284</v>
      </c>
      <c r="D24" t="s">
        <v>286</v>
      </c>
      <c r="E24" t="s">
        <v>281</v>
      </c>
    </row>
    <row r="25" spans="1:5">
      <c r="A25" t="s">
        <v>297</v>
      </c>
      <c r="B25" t="s">
        <v>292</v>
      </c>
      <c r="C25" t="s">
        <v>284</v>
      </c>
      <c r="D25" t="s">
        <v>286</v>
      </c>
      <c r="E25" t="s">
        <v>276</v>
      </c>
    </row>
    <row r="26" spans="1:5">
      <c r="A26" t="s">
        <v>298</v>
      </c>
      <c r="B26" t="s">
        <v>283</v>
      </c>
      <c r="C26" t="s">
        <v>280</v>
      </c>
      <c r="D26" t="s">
        <v>282</v>
      </c>
      <c r="E26" t="s">
        <v>281</v>
      </c>
    </row>
    <row r="27" spans="1:5">
      <c r="A27" t="s">
        <v>299</v>
      </c>
      <c r="B27" t="s">
        <v>279</v>
      </c>
      <c r="C27" t="s">
        <v>284</v>
      </c>
      <c r="D27" t="s">
        <v>286</v>
      </c>
      <c r="E27" t="s">
        <v>281</v>
      </c>
    </row>
    <row r="28" spans="1:5">
      <c r="A28" t="s">
        <v>121</v>
      </c>
      <c r="B28" t="s">
        <v>283</v>
      </c>
      <c r="C28" t="s">
        <v>280</v>
      </c>
      <c r="D28" t="s">
        <v>282</v>
      </c>
      <c r="E28" t="s">
        <v>281</v>
      </c>
    </row>
    <row r="29" spans="1:5">
      <c r="A29" t="s">
        <v>112</v>
      </c>
      <c r="B29" t="s">
        <v>283</v>
      </c>
      <c r="C29" t="s">
        <v>284</v>
      </c>
      <c r="D29" t="s">
        <v>285</v>
      </c>
      <c r="E29" t="s">
        <v>276</v>
      </c>
    </row>
    <row r="30" spans="1:5">
      <c r="A30" t="s">
        <v>131</v>
      </c>
      <c r="B30" t="s">
        <v>279</v>
      </c>
      <c r="C30" t="s">
        <v>280</v>
      </c>
      <c r="D30" t="s">
        <v>282</v>
      </c>
      <c r="E30" t="s">
        <v>281</v>
      </c>
    </row>
    <row r="31" spans="1:5">
      <c r="A31" t="s">
        <v>41</v>
      </c>
      <c r="B31" t="s">
        <v>283</v>
      </c>
      <c r="C31" t="s">
        <v>284</v>
      </c>
      <c r="D31" t="s">
        <v>285</v>
      </c>
      <c r="E31" t="s">
        <v>281</v>
      </c>
    </row>
    <row r="32" spans="1:5">
      <c r="A32" t="s">
        <v>141</v>
      </c>
      <c r="B32" t="s">
        <v>283</v>
      </c>
      <c r="C32" t="s">
        <v>280</v>
      </c>
      <c r="D32" t="s">
        <v>282</v>
      </c>
      <c r="E32" t="s">
        <v>281</v>
      </c>
    </row>
    <row r="33" spans="1:5">
      <c r="A33" t="s">
        <v>47</v>
      </c>
      <c r="B33" t="s">
        <v>283</v>
      </c>
      <c r="C33" t="s">
        <v>284</v>
      </c>
      <c r="D33" t="s">
        <v>285</v>
      </c>
      <c r="E33" t="s">
        <v>281</v>
      </c>
    </row>
    <row r="34" spans="1:5">
      <c r="A34" t="s">
        <v>51</v>
      </c>
      <c r="B34" t="s">
        <v>279</v>
      </c>
      <c r="C34" t="s">
        <v>284</v>
      </c>
      <c r="D34" t="s">
        <v>286</v>
      </c>
      <c r="E34" t="s">
        <v>281</v>
      </c>
    </row>
    <row r="35" spans="1:5">
      <c r="A35" t="s">
        <v>64</v>
      </c>
      <c r="B35" t="s">
        <v>283</v>
      </c>
      <c r="C35" t="s">
        <v>284</v>
      </c>
      <c r="D35" t="s">
        <v>285</v>
      </c>
      <c r="E35" t="s">
        <v>281</v>
      </c>
    </row>
    <row r="36" spans="1:5">
      <c r="A36" t="s">
        <v>83</v>
      </c>
      <c r="B36" t="s">
        <v>279</v>
      </c>
      <c r="C36" t="s">
        <v>284</v>
      </c>
      <c r="D36" t="s">
        <v>286</v>
      </c>
      <c r="E36" t="s">
        <v>281</v>
      </c>
    </row>
    <row r="37" spans="1:5">
      <c r="A37" t="s">
        <v>300</v>
      </c>
      <c r="B37" t="s">
        <v>279</v>
      </c>
      <c r="C37" t="s">
        <v>280</v>
      </c>
      <c r="D37" t="s">
        <v>282</v>
      </c>
      <c r="E37" t="s">
        <v>281</v>
      </c>
    </row>
    <row r="38" spans="1:5">
      <c r="A38" t="s">
        <v>73</v>
      </c>
      <c r="B38" t="s">
        <v>279</v>
      </c>
      <c r="C38" t="s">
        <v>280</v>
      </c>
      <c r="D38" t="s">
        <v>282</v>
      </c>
      <c r="E38" t="s">
        <v>281</v>
      </c>
    </row>
    <row r="39" spans="1:5">
      <c r="A39" t="s">
        <v>301</v>
      </c>
      <c r="B39" t="s">
        <v>283</v>
      </c>
      <c r="C39" t="s">
        <v>284</v>
      </c>
      <c r="D39" t="s">
        <v>285</v>
      </c>
      <c r="E39" t="s">
        <v>276</v>
      </c>
    </row>
    <row r="40" spans="1:5">
      <c r="A40" t="s">
        <v>302</v>
      </c>
      <c r="B40" t="s">
        <v>283</v>
      </c>
      <c r="C40" t="s">
        <v>284</v>
      </c>
      <c r="D40" t="s">
        <v>285</v>
      </c>
      <c r="E40" t="s">
        <v>276</v>
      </c>
    </row>
    <row r="41" spans="1:5">
      <c r="A41" t="s">
        <v>30</v>
      </c>
      <c r="B41" t="s">
        <v>283</v>
      </c>
      <c r="C41" t="s">
        <v>284</v>
      </c>
      <c r="D41" t="s">
        <v>285</v>
      </c>
      <c r="E41" t="s">
        <v>281</v>
      </c>
    </row>
    <row r="42" spans="1:5">
      <c r="A42" t="s">
        <v>138</v>
      </c>
      <c r="B42" t="s">
        <v>279</v>
      </c>
      <c r="C42" t="s">
        <v>280</v>
      </c>
      <c r="D42" t="s">
        <v>282</v>
      </c>
      <c r="E42" t="s">
        <v>281</v>
      </c>
    </row>
    <row r="43" spans="1:5">
      <c r="A43" t="s">
        <v>303</v>
      </c>
      <c r="B43" t="s">
        <v>279</v>
      </c>
      <c r="C43" t="s">
        <v>280</v>
      </c>
      <c r="D43" t="s">
        <v>282</v>
      </c>
      <c r="E43" t="s">
        <v>281</v>
      </c>
    </row>
    <row r="44" spans="1:5">
      <c r="A44" t="s">
        <v>204</v>
      </c>
      <c r="B44" t="s">
        <v>279</v>
      </c>
      <c r="C44" t="s">
        <v>284</v>
      </c>
      <c r="D44" t="s">
        <v>286</v>
      </c>
      <c r="E44" t="s">
        <v>281</v>
      </c>
    </row>
    <row r="45" spans="1:5">
      <c r="A45" t="s">
        <v>183</v>
      </c>
      <c r="B45" t="s">
        <v>292</v>
      </c>
      <c r="C45" t="s">
        <v>284</v>
      </c>
      <c r="D45" t="s">
        <v>286</v>
      </c>
      <c r="E45" t="s">
        <v>281</v>
      </c>
    </row>
    <row r="46" spans="1:5">
      <c r="A46" t="s">
        <v>136</v>
      </c>
      <c r="B46" t="s">
        <v>292</v>
      </c>
      <c r="C46" t="s">
        <v>284</v>
      </c>
      <c r="D46" t="s">
        <v>286</v>
      </c>
      <c r="E46" t="s">
        <v>281</v>
      </c>
    </row>
    <row r="47" spans="1:5">
      <c r="A47" t="s">
        <v>10</v>
      </c>
      <c r="B47" t="s">
        <v>283</v>
      </c>
      <c r="C47" t="s">
        <v>284</v>
      </c>
      <c r="D47" t="s">
        <v>285</v>
      </c>
      <c r="E47" t="s">
        <v>281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219"/>
  <sheetViews>
    <sheetView topLeftCell="A190" zoomScale="115" workbookViewId="0"/>
  </sheetViews>
  <sheetFormatPr baseColWidth="10" defaultColWidth="10.6640625" defaultRowHeight="16"/>
  <cols>
    <col min="1" max="1" width="11.6640625" bestFit="1" customWidth="1"/>
    <col min="2" max="2" width="58.1640625" customWidth="1"/>
    <col min="3" max="3" width="28" bestFit="1" customWidth="1"/>
  </cols>
  <sheetData>
    <row r="1" spans="1:3">
      <c r="A1" t="s">
        <v>307</v>
      </c>
      <c r="B1" t="s">
        <v>272</v>
      </c>
      <c r="C1" t="s">
        <v>1</v>
      </c>
    </row>
    <row r="2" spans="1:3">
      <c r="A2" t="s">
        <v>319</v>
      </c>
      <c r="B2" t="s">
        <v>43</v>
      </c>
      <c r="C2" t="s">
        <v>16</v>
      </c>
    </row>
    <row r="3" spans="1:3">
      <c r="A3" t="s">
        <v>488</v>
      </c>
      <c r="B3" t="s">
        <v>234</v>
      </c>
      <c r="C3" t="s">
        <v>11</v>
      </c>
    </row>
    <row r="4" spans="1:3">
      <c r="A4" t="s">
        <v>494</v>
      </c>
      <c r="B4" t="s">
        <v>240</v>
      </c>
      <c r="C4" t="s">
        <v>16</v>
      </c>
    </row>
    <row r="5" spans="1:3">
      <c r="A5" t="s">
        <v>359</v>
      </c>
      <c r="B5" t="s">
        <v>93</v>
      </c>
      <c r="C5" t="s">
        <v>71</v>
      </c>
    </row>
    <row r="6" spans="1:3">
      <c r="A6" t="s">
        <v>340</v>
      </c>
      <c r="B6" t="s">
        <v>69</v>
      </c>
      <c r="C6" t="s">
        <v>11</v>
      </c>
    </row>
    <row r="7" spans="1:3">
      <c r="A7" t="s">
        <v>504</v>
      </c>
      <c r="B7" t="s">
        <v>250</v>
      </c>
      <c r="C7" t="s">
        <v>34</v>
      </c>
    </row>
    <row r="8" spans="1:3">
      <c r="A8" t="s">
        <v>448</v>
      </c>
      <c r="B8" t="s">
        <v>192</v>
      </c>
      <c r="C8" t="s">
        <v>16</v>
      </c>
    </row>
    <row r="9" spans="1:3">
      <c r="A9" t="s">
        <v>364</v>
      </c>
      <c r="B9" t="s">
        <v>98</v>
      </c>
      <c r="C9" t="s">
        <v>38</v>
      </c>
    </row>
    <row r="10" spans="1:3">
      <c r="A10" t="s">
        <v>473</v>
      </c>
      <c r="B10" t="s">
        <v>219</v>
      </c>
      <c r="C10" t="s">
        <v>16</v>
      </c>
    </row>
    <row r="11" spans="1:3">
      <c r="A11" t="s">
        <v>411</v>
      </c>
      <c r="B11" t="s">
        <v>152</v>
      </c>
      <c r="C11" t="s">
        <v>11</v>
      </c>
    </row>
    <row r="12" spans="1:3">
      <c r="A12" t="s">
        <v>332</v>
      </c>
      <c r="B12" t="s">
        <v>60</v>
      </c>
      <c r="C12" t="s">
        <v>11</v>
      </c>
    </row>
    <row r="13" spans="1:3">
      <c r="A13" t="s">
        <v>502</v>
      </c>
      <c r="B13" t="s">
        <v>248</v>
      </c>
      <c r="C13" t="s">
        <v>16</v>
      </c>
    </row>
    <row r="14" spans="1:3">
      <c r="A14" t="s">
        <v>367</v>
      </c>
      <c r="B14" t="s">
        <v>101</v>
      </c>
      <c r="C14" t="s">
        <v>5</v>
      </c>
    </row>
    <row r="15" spans="1:3">
      <c r="A15" t="s">
        <v>511</v>
      </c>
      <c r="B15" t="s">
        <v>257</v>
      </c>
      <c r="C15" t="s">
        <v>38</v>
      </c>
    </row>
    <row r="16" spans="1:3">
      <c r="A16" t="s">
        <v>500</v>
      </c>
      <c r="B16" t="s">
        <v>246</v>
      </c>
      <c r="C16" t="s">
        <v>11</v>
      </c>
    </row>
    <row r="17" spans="1:3">
      <c r="A17" t="s">
        <v>370</v>
      </c>
      <c r="B17" t="s">
        <v>104</v>
      </c>
      <c r="C17" t="s">
        <v>5</v>
      </c>
    </row>
    <row r="18" spans="1:3">
      <c r="A18" t="s">
        <v>352</v>
      </c>
      <c r="B18" t="s">
        <v>86</v>
      </c>
      <c r="C18" t="s">
        <v>38</v>
      </c>
    </row>
    <row r="19" spans="1:3">
      <c r="A19" t="s">
        <v>415</v>
      </c>
      <c r="B19" t="s">
        <v>157</v>
      </c>
      <c r="C19" t="s">
        <v>38</v>
      </c>
    </row>
    <row r="20" spans="1:3">
      <c r="A20" t="s">
        <v>432</v>
      </c>
      <c r="B20" t="s">
        <v>175</v>
      </c>
      <c r="C20" t="s">
        <v>38</v>
      </c>
    </row>
    <row r="21" spans="1:3">
      <c r="A21" t="s">
        <v>446</v>
      </c>
      <c r="B21" t="s">
        <v>190</v>
      </c>
      <c r="C21" t="s">
        <v>34</v>
      </c>
    </row>
    <row r="22" spans="1:3">
      <c r="A22" t="s">
        <v>344</v>
      </c>
      <c r="B22" t="s">
        <v>76</v>
      </c>
      <c r="C22" t="s">
        <v>11</v>
      </c>
    </row>
    <row r="23" spans="1:3">
      <c r="A23" t="s">
        <v>445</v>
      </c>
      <c r="B23" t="s">
        <v>189</v>
      </c>
      <c r="C23" t="s">
        <v>16</v>
      </c>
    </row>
    <row r="24" spans="1:3">
      <c r="A24" t="s">
        <v>392</v>
      </c>
      <c r="B24" t="s">
        <v>129</v>
      </c>
      <c r="C24" t="s">
        <v>11</v>
      </c>
    </row>
    <row r="25" spans="1:3">
      <c r="A25" t="s">
        <v>483</v>
      </c>
      <c r="B25" t="s">
        <v>230</v>
      </c>
      <c r="C25" t="s">
        <v>5</v>
      </c>
    </row>
    <row r="26" spans="1:3">
      <c r="A26" t="s">
        <v>398</v>
      </c>
      <c r="B26" t="s">
        <v>137</v>
      </c>
      <c r="C26" t="s">
        <v>5</v>
      </c>
    </row>
    <row r="27" spans="1:3">
      <c r="A27" t="s">
        <v>458</v>
      </c>
      <c r="B27" t="s">
        <v>202</v>
      </c>
      <c r="C27" t="s">
        <v>34</v>
      </c>
    </row>
    <row r="28" spans="1:3">
      <c r="A28" t="s">
        <v>493</v>
      </c>
      <c r="B28" t="s">
        <v>239</v>
      </c>
      <c r="C28" t="s">
        <v>11</v>
      </c>
    </row>
    <row r="29" spans="1:3">
      <c r="A29" t="s">
        <v>389</v>
      </c>
      <c r="B29" t="s">
        <v>126</v>
      </c>
      <c r="C29" t="s">
        <v>34</v>
      </c>
    </row>
    <row r="30" spans="1:3">
      <c r="A30" t="s">
        <v>520</v>
      </c>
      <c r="B30" t="s">
        <v>266</v>
      </c>
      <c r="C30" t="s">
        <v>16</v>
      </c>
    </row>
    <row r="31" spans="1:3">
      <c r="A31" t="s">
        <v>341</v>
      </c>
      <c r="B31" t="s">
        <v>70</v>
      </c>
      <c r="C31" t="s">
        <v>16</v>
      </c>
    </row>
    <row r="32" spans="1:3">
      <c r="A32" t="s">
        <v>414</v>
      </c>
      <c r="B32" t="s">
        <v>156</v>
      </c>
      <c r="C32" t="s">
        <v>16</v>
      </c>
    </row>
    <row r="33" spans="1:3">
      <c r="A33" t="s">
        <v>354</v>
      </c>
      <c r="B33" t="s">
        <v>88</v>
      </c>
      <c r="C33" t="s">
        <v>5</v>
      </c>
    </row>
    <row r="34" spans="1:3">
      <c r="A34" t="s">
        <v>518</v>
      </c>
      <c r="B34" t="s">
        <v>264</v>
      </c>
      <c r="C34" t="s">
        <v>38</v>
      </c>
    </row>
    <row r="35" spans="1:3">
      <c r="A35" t="s">
        <v>406</v>
      </c>
      <c r="B35" t="s">
        <v>147</v>
      </c>
      <c r="C35" t="s">
        <v>5</v>
      </c>
    </row>
    <row r="36" spans="1:3">
      <c r="A36" t="s">
        <v>358</v>
      </c>
      <c r="B36" t="s">
        <v>92</v>
      </c>
      <c r="C36" t="s">
        <v>11</v>
      </c>
    </row>
    <row r="37" spans="1:3">
      <c r="A37" t="s">
        <v>330</v>
      </c>
      <c r="B37" t="s">
        <v>58</v>
      </c>
      <c r="C37" t="s">
        <v>5</v>
      </c>
    </row>
    <row r="38" spans="1:3">
      <c r="A38" t="s">
        <v>439</v>
      </c>
      <c r="B38" t="s">
        <v>182</v>
      </c>
      <c r="C38" t="s">
        <v>16</v>
      </c>
    </row>
    <row r="39" spans="1:3">
      <c r="A39" t="s">
        <v>459</v>
      </c>
      <c r="B39" t="s">
        <v>203</v>
      </c>
      <c r="C39" t="s">
        <v>38</v>
      </c>
    </row>
    <row r="40" spans="1:3">
      <c r="A40" t="s">
        <v>420</v>
      </c>
      <c r="B40" t="s">
        <v>162</v>
      </c>
      <c r="C40" t="s">
        <v>16</v>
      </c>
    </row>
    <row r="41" spans="1:3">
      <c r="A41" t="s">
        <v>519</v>
      </c>
      <c r="B41" t="s">
        <v>265</v>
      </c>
      <c r="C41" t="s">
        <v>5</v>
      </c>
    </row>
    <row r="42" spans="1:3">
      <c r="A42" t="s">
        <v>461</v>
      </c>
      <c r="B42" t="s">
        <v>207</v>
      </c>
      <c r="C42" t="s">
        <v>5</v>
      </c>
    </row>
    <row r="43" spans="1:3">
      <c r="A43" t="s">
        <v>507</v>
      </c>
      <c r="B43" t="s">
        <v>253</v>
      </c>
      <c r="C43" t="s">
        <v>71</v>
      </c>
    </row>
    <row r="44" spans="1:3">
      <c r="A44" t="s">
        <v>481</v>
      </c>
      <c r="B44" t="s">
        <v>228</v>
      </c>
      <c r="C44" t="s">
        <v>11</v>
      </c>
    </row>
    <row r="45" spans="1:3">
      <c r="A45" t="s">
        <v>361</v>
      </c>
      <c r="B45" t="s">
        <v>95</v>
      </c>
      <c r="C45" t="s">
        <v>16</v>
      </c>
    </row>
    <row r="46" spans="1:3">
      <c r="A46" t="s">
        <v>472</v>
      </c>
      <c r="B46" t="s">
        <v>218</v>
      </c>
      <c r="C46" t="s">
        <v>5</v>
      </c>
    </row>
    <row r="47" spans="1:3">
      <c r="A47" t="s">
        <v>508</v>
      </c>
      <c r="B47" t="s">
        <v>254</v>
      </c>
      <c r="C47" t="s">
        <v>16</v>
      </c>
    </row>
    <row r="48" spans="1:3">
      <c r="A48" t="s">
        <v>417</v>
      </c>
      <c r="B48" t="s">
        <v>159</v>
      </c>
      <c r="C48" t="s">
        <v>11</v>
      </c>
    </row>
    <row r="49" spans="1:3">
      <c r="A49" t="s">
        <v>393</v>
      </c>
      <c r="B49" t="s">
        <v>130</v>
      </c>
      <c r="C49" t="s">
        <v>38</v>
      </c>
    </row>
    <row r="50" spans="1:3">
      <c r="A50" t="s">
        <v>323</v>
      </c>
      <c r="B50" t="s">
        <v>48</v>
      </c>
      <c r="C50" t="s">
        <v>11</v>
      </c>
    </row>
    <row r="51" spans="1:3">
      <c r="A51" t="s">
        <v>452</v>
      </c>
      <c r="B51" t="s">
        <v>196</v>
      </c>
      <c r="C51" t="s">
        <v>5</v>
      </c>
    </row>
    <row r="52" spans="1:3">
      <c r="A52" t="s">
        <v>524</v>
      </c>
      <c r="B52" t="s">
        <v>270</v>
      </c>
      <c r="C52" t="s">
        <v>34</v>
      </c>
    </row>
    <row r="53" spans="1:3">
      <c r="A53" t="s">
        <v>495</v>
      </c>
      <c r="B53" t="s">
        <v>241</v>
      </c>
      <c r="C53" t="s">
        <v>34</v>
      </c>
    </row>
    <row r="54" spans="1:3">
      <c r="A54" t="s">
        <v>320</v>
      </c>
      <c r="B54" t="s">
        <v>44</v>
      </c>
      <c r="C54" t="s">
        <v>5</v>
      </c>
    </row>
    <row r="55" spans="1:3">
      <c r="A55" t="s">
        <v>396</v>
      </c>
      <c r="B55" t="s">
        <v>134</v>
      </c>
      <c r="C55" t="s">
        <v>5</v>
      </c>
    </row>
    <row r="56" spans="1:3">
      <c r="A56" t="s">
        <v>314</v>
      </c>
      <c r="B56" t="s">
        <v>32</v>
      </c>
      <c r="C56" t="s">
        <v>5</v>
      </c>
    </row>
    <row r="57" spans="1:3">
      <c r="A57" t="s">
        <v>404</v>
      </c>
      <c r="B57" t="s">
        <v>145</v>
      </c>
      <c r="C57" t="s">
        <v>38</v>
      </c>
    </row>
    <row r="58" spans="1:3">
      <c r="A58" t="s">
        <v>335</v>
      </c>
      <c r="B58" t="s">
        <v>63</v>
      </c>
      <c r="C58" t="s">
        <v>34</v>
      </c>
    </row>
    <row r="59" spans="1:3">
      <c r="A59" t="s">
        <v>345</v>
      </c>
      <c r="B59" t="s">
        <v>77</v>
      </c>
      <c r="C59" t="s">
        <v>34</v>
      </c>
    </row>
    <row r="60" spans="1:3">
      <c r="A60" t="s">
        <v>467</v>
      </c>
      <c r="B60" t="s">
        <v>213</v>
      </c>
      <c r="C60" t="s">
        <v>34</v>
      </c>
    </row>
    <row r="61" spans="1:3">
      <c r="A61" t="s">
        <v>347</v>
      </c>
      <c r="B61" t="s">
        <v>79</v>
      </c>
      <c r="C61" t="s">
        <v>71</v>
      </c>
    </row>
    <row r="62" spans="1:3">
      <c r="A62" t="s">
        <v>425</v>
      </c>
      <c r="B62" t="s">
        <v>167</v>
      </c>
      <c r="C62" t="s">
        <v>5</v>
      </c>
    </row>
    <row r="63" spans="1:3">
      <c r="A63" t="s">
        <v>419</v>
      </c>
      <c r="B63" t="s">
        <v>161</v>
      </c>
      <c r="C63" t="s">
        <v>16</v>
      </c>
    </row>
    <row r="64" spans="1:3">
      <c r="A64" t="s">
        <v>387</v>
      </c>
      <c r="B64" t="s">
        <v>124</v>
      </c>
      <c r="C64" t="s">
        <v>16</v>
      </c>
    </row>
    <row r="65" spans="1:3">
      <c r="A65" t="s">
        <v>310</v>
      </c>
      <c r="B65" t="s">
        <v>19</v>
      </c>
      <c r="C65" t="s">
        <v>16</v>
      </c>
    </row>
    <row r="66" spans="1:3">
      <c r="A66" t="s">
        <v>474</v>
      </c>
      <c r="B66" t="s">
        <v>220</v>
      </c>
      <c r="C66" t="s">
        <v>5</v>
      </c>
    </row>
    <row r="67" spans="1:3">
      <c r="A67" t="s">
        <v>363</v>
      </c>
      <c r="B67" t="s">
        <v>97</v>
      </c>
      <c r="C67" t="s">
        <v>11</v>
      </c>
    </row>
    <row r="68" spans="1:3">
      <c r="A68" t="s">
        <v>429</v>
      </c>
      <c r="B68" t="s">
        <v>172</v>
      </c>
      <c r="C68" t="s">
        <v>16</v>
      </c>
    </row>
    <row r="69" spans="1:3">
      <c r="A69" t="s">
        <v>454</v>
      </c>
      <c r="B69" t="s">
        <v>198</v>
      </c>
      <c r="C69" t="s">
        <v>11</v>
      </c>
    </row>
    <row r="70" spans="1:3">
      <c r="A70" t="s">
        <v>514</v>
      </c>
      <c r="B70" t="s">
        <v>260</v>
      </c>
      <c r="C70" t="s">
        <v>16</v>
      </c>
    </row>
    <row r="71" spans="1:3">
      <c r="A71" t="s">
        <v>509</v>
      </c>
      <c r="B71" t="s">
        <v>255</v>
      </c>
      <c r="C71" t="s">
        <v>38</v>
      </c>
    </row>
    <row r="72" spans="1:3">
      <c r="A72" t="s">
        <v>409</v>
      </c>
      <c r="B72" t="s">
        <v>150</v>
      </c>
      <c r="C72" t="s">
        <v>11</v>
      </c>
    </row>
    <row r="73" spans="1:3">
      <c r="A73" t="s">
        <v>523</v>
      </c>
      <c r="B73" t="s">
        <v>269</v>
      </c>
      <c r="C73" t="s">
        <v>5</v>
      </c>
    </row>
    <row r="74" spans="1:3">
      <c r="A74" t="s">
        <v>325</v>
      </c>
      <c r="B74" t="s">
        <v>52</v>
      </c>
      <c r="C74" t="s">
        <v>11</v>
      </c>
    </row>
    <row r="75" spans="1:3">
      <c r="A75" t="s">
        <v>464</v>
      </c>
      <c r="B75" t="s">
        <v>210</v>
      </c>
      <c r="C75" t="s">
        <v>34</v>
      </c>
    </row>
    <row r="76" spans="1:3">
      <c r="A76" t="s">
        <v>376</v>
      </c>
      <c r="B76" t="s">
        <v>111</v>
      </c>
      <c r="C76" t="s">
        <v>5</v>
      </c>
    </row>
    <row r="77" spans="1:3">
      <c r="A77" t="s">
        <v>365</v>
      </c>
      <c r="B77" t="s">
        <v>99</v>
      </c>
      <c r="C77" t="s">
        <v>71</v>
      </c>
    </row>
    <row r="78" spans="1:3">
      <c r="A78" t="s">
        <v>372</v>
      </c>
      <c r="B78" t="s">
        <v>107</v>
      </c>
      <c r="C78" t="s">
        <v>34</v>
      </c>
    </row>
    <row r="79" spans="1:3">
      <c r="A79" t="s">
        <v>479</v>
      </c>
      <c r="B79" t="s">
        <v>226</v>
      </c>
      <c r="C79" t="s">
        <v>16</v>
      </c>
    </row>
    <row r="80" spans="1:3">
      <c r="A80" t="s">
        <v>470</v>
      </c>
      <c r="B80" t="s">
        <v>216</v>
      </c>
      <c r="C80" t="s">
        <v>5</v>
      </c>
    </row>
    <row r="81" spans="1:3">
      <c r="A81" t="s">
        <v>489</v>
      </c>
      <c r="B81" t="s">
        <v>235</v>
      </c>
      <c r="C81" t="s">
        <v>11</v>
      </c>
    </row>
    <row r="82" spans="1:3">
      <c r="A82" t="s">
        <v>456</v>
      </c>
      <c r="B82" t="s">
        <v>200</v>
      </c>
      <c r="C82" t="s">
        <v>16</v>
      </c>
    </row>
    <row r="83" spans="1:3">
      <c r="A83" t="s">
        <v>521</v>
      </c>
      <c r="B83" t="s">
        <v>267</v>
      </c>
      <c r="C83" t="s">
        <v>5</v>
      </c>
    </row>
    <row r="84" spans="1:3">
      <c r="A84" t="s">
        <v>309</v>
      </c>
      <c r="B84" t="s">
        <v>14</v>
      </c>
      <c r="C84" t="s">
        <v>11</v>
      </c>
    </row>
    <row r="85" spans="1:3">
      <c r="A85" t="s">
        <v>498</v>
      </c>
      <c r="B85" t="s">
        <v>244</v>
      </c>
      <c r="C85" t="s">
        <v>16</v>
      </c>
    </row>
    <row r="86" spans="1:3">
      <c r="A86" t="s">
        <v>438</v>
      </c>
      <c r="B86" t="s">
        <v>181</v>
      </c>
      <c r="C86" t="s">
        <v>5</v>
      </c>
    </row>
    <row r="87" spans="1:3">
      <c r="A87" t="s">
        <v>308</v>
      </c>
      <c r="B87" t="s">
        <v>9</v>
      </c>
      <c r="C87" t="s">
        <v>5</v>
      </c>
    </row>
    <row r="88" spans="1:3">
      <c r="A88" t="s">
        <v>421</v>
      </c>
      <c r="B88" t="s">
        <v>163</v>
      </c>
      <c r="C88" t="s">
        <v>11</v>
      </c>
    </row>
    <row r="89" spans="1:3">
      <c r="A89" t="s">
        <v>334</v>
      </c>
      <c r="B89" t="s">
        <v>62</v>
      </c>
      <c r="C89" t="s">
        <v>5</v>
      </c>
    </row>
    <row r="90" spans="1:3">
      <c r="A90" t="s">
        <v>407</v>
      </c>
      <c r="B90" t="s">
        <v>148</v>
      </c>
      <c r="C90" t="s">
        <v>5</v>
      </c>
    </row>
    <row r="91" spans="1:3">
      <c r="A91" t="s">
        <v>478</v>
      </c>
      <c r="B91" t="s">
        <v>224</v>
      </c>
      <c r="C91" t="s">
        <v>16</v>
      </c>
    </row>
    <row r="92" spans="1:3">
      <c r="A92" t="s">
        <v>491</v>
      </c>
      <c r="B92" t="s">
        <v>237</v>
      </c>
      <c r="C92" t="s">
        <v>16</v>
      </c>
    </row>
    <row r="93" spans="1:3">
      <c r="A93" t="s">
        <v>326</v>
      </c>
      <c r="B93" t="s">
        <v>53</v>
      </c>
      <c r="C93" t="s">
        <v>11</v>
      </c>
    </row>
    <row r="94" spans="1:3">
      <c r="A94" t="s">
        <v>405</v>
      </c>
      <c r="B94" t="s">
        <v>146</v>
      </c>
      <c r="C94" t="s">
        <v>16</v>
      </c>
    </row>
    <row r="95" spans="1:3">
      <c r="A95" t="s">
        <v>441</v>
      </c>
      <c r="B95" t="s">
        <v>185</v>
      </c>
      <c r="C95" t="s">
        <v>11</v>
      </c>
    </row>
    <row r="96" spans="1:3">
      <c r="A96" t="s">
        <v>337</v>
      </c>
      <c r="B96" t="s">
        <v>66</v>
      </c>
      <c r="C96" t="s">
        <v>16</v>
      </c>
    </row>
    <row r="97" spans="1:3">
      <c r="A97" t="s">
        <v>497</v>
      </c>
      <c r="B97" t="s">
        <v>243</v>
      </c>
      <c r="C97" t="s">
        <v>16</v>
      </c>
    </row>
    <row r="98" spans="1:3">
      <c r="A98" t="s">
        <v>434</v>
      </c>
      <c r="B98" t="s">
        <v>177</v>
      </c>
      <c r="C98" t="s">
        <v>34</v>
      </c>
    </row>
    <row r="99" spans="1:3">
      <c r="A99" t="s">
        <v>468</v>
      </c>
      <c r="B99" t="s">
        <v>214</v>
      </c>
      <c r="C99" t="s">
        <v>38</v>
      </c>
    </row>
    <row r="100" spans="1:3">
      <c r="A100" t="s">
        <v>329</v>
      </c>
      <c r="B100" t="s">
        <v>56</v>
      </c>
      <c r="C100" t="s">
        <v>16</v>
      </c>
    </row>
    <row r="101" spans="1:3">
      <c r="A101" t="s">
        <v>408</v>
      </c>
      <c r="B101" t="s">
        <v>149</v>
      </c>
      <c r="C101" t="s">
        <v>11</v>
      </c>
    </row>
    <row r="102" spans="1:3">
      <c r="A102" t="s">
        <v>451</v>
      </c>
      <c r="B102" t="s">
        <v>195</v>
      </c>
      <c r="C102" t="s">
        <v>5</v>
      </c>
    </row>
    <row r="103" spans="1:3">
      <c r="A103" t="s">
        <v>388</v>
      </c>
      <c r="B103" t="s">
        <v>125</v>
      </c>
      <c r="C103" t="s">
        <v>16</v>
      </c>
    </row>
    <row r="104" spans="1:3">
      <c r="A104" t="s">
        <v>506</v>
      </c>
      <c r="B104" t="s">
        <v>252</v>
      </c>
      <c r="C104" t="s">
        <v>11</v>
      </c>
    </row>
    <row r="105" spans="1:3">
      <c r="A105" t="s">
        <v>450</v>
      </c>
      <c r="B105" t="s">
        <v>194</v>
      </c>
      <c r="C105" t="s">
        <v>16</v>
      </c>
    </row>
    <row r="106" spans="1:3">
      <c r="A106" t="s">
        <v>477</v>
      </c>
      <c r="B106" t="s">
        <v>223</v>
      </c>
      <c r="C106" t="s">
        <v>16</v>
      </c>
    </row>
    <row r="107" spans="1:3">
      <c r="A107" t="s">
        <v>487</v>
      </c>
      <c r="B107" t="s">
        <v>233</v>
      </c>
      <c r="C107" t="s">
        <v>5</v>
      </c>
    </row>
    <row r="108" spans="1:3">
      <c r="A108" t="s">
        <v>317</v>
      </c>
      <c r="B108" t="s">
        <v>40</v>
      </c>
      <c r="C108" t="s">
        <v>38</v>
      </c>
    </row>
    <row r="109" spans="1:3">
      <c r="A109" t="s">
        <v>350</v>
      </c>
      <c r="B109" t="s">
        <v>84</v>
      </c>
      <c r="C109" t="s">
        <v>11</v>
      </c>
    </row>
    <row r="110" spans="1:3">
      <c r="A110" t="s">
        <v>384</v>
      </c>
      <c r="B110" t="s">
        <v>120</v>
      </c>
      <c r="C110" t="s">
        <v>16</v>
      </c>
    </row>
    <row r="111" spans="1:3">
      <c r="A111" t="s">
        <v>449</v>
      </c>
      <c r="B111" t="s">
        <v>193</v>
      </c>
      <c r="C111" t="s">
        <v>38</v>
      </c>
    </row>
    <row r="112" spans="1:3">
      <c r="A112" t="s">
        <v>428</v>
      </c>
      <c r="B112" t="s">
        <v>170</v>
      </c>
      <c r="C112" t="s">
        <v>38</v>
      </c>
    </row>
    <row r="113" spans="1:3">
      <c r="A113" t="s">
        <v>318</v>
      </c>
      <c r="B113" t="s">
        <v>42</v>
      </c>
      <c r="C113" t="s">
        <v>16</v>
      </c>
    </row>
    <row r="114" spans="1:3">
      <c r="A114" t="s">
        <v>355</v>
      </c>
      <c r="B114" t="s">
        <v>89</v>
      </c>
      <c r="C114" t="s">
        <v>11</v>
      </c>
    </row>
    <row r="115" spans="1:3">
      <c r="A115" t="s">
        <v>338</v>
      </c>
      <c r="B115" t="s">
        <v>67</v>
      </c>
      <c r="C115" t="s">
        <v>16</v>
      </c>
    </row>
    <row r="116" spans="1:3">
      <c r="A116" t="s">
        <v>316</v>
      </c>
      <c r="B116" t="s">
        <v>37</v>
      </c>
      <c r="C116" t="s">
        <v>34</v>
      </c>
    </row>
    <row r="117" spans="1:3">
      <c r="A117" t="s">
        <v>321</v>
      </c>
      <c r="B117" t="s">
        <v>45</v>
      </c>
      <c r="C117" t="s">
        <v>5</v>
      </c>
    </row>
    <row r="118" spans="1:3">
      <c r="A118" t="s">
        <v>492</v>
      </c>
      <c r="B118" t="s">
        <v>238</v>
      </c>
      <c r="C118" t="s">
        <v>11</v>
      </c>
    </row>
    <row r="119" spans="1:3">
      <c r="A119" t="s">
        <v>427</v>
      </c>
      <c r="B119" t="s">
        <v>169</v>
      </c>
      <c r="C119" t="s">
        <v>5</v>
      </c>
    </row>
    <row r="120" spans="1:3">
      <c r="A120" t="s">
        <v>471</v>
      </c>
      <c r="B120" t="s">
        <v>217</v>
      </c>
      <c r="C120" t="s">
        <v>11</v>
      </c>
    </row>
    <row r="121" spans="1:3">
      <c r="A121" t="s">
        <v>343</v>
      </c>
      <c r="B121" t="s">
        <v>74</v>
      </c>
      <c r="C121" t="s">
        <v>5</v>
      </c>
    </row>
    <row r="122" spans="1:3">
      <c r="A122" t="s">
        <v>436</v>
      </c>
      <c r="B122" t="s">
        <v>179</v>
      </c>
      <c r="C122" t="s">
        <v>38</v>
      </c>
    </row>
    <row r="123" spans="1:3">
      <c r="A123" t="s">
        <v>513</v>
      </c>
      <c r="B123" t="s">
        <v>259</v>
      </c>
      <c r="C123" t="s">
        <v>11</v>
      </c>
    </row>
    <row r="124" spans="1:3">
      <c r="A124" t="s">
        <v>465</v>
      </c>
      <c r="B124" t="s">
        <v>211</v>
      </c>
      <c r="C124" t="s">
        <v>16</v>
      </c>
    </row>
    <row r="125" spans="1:3">
      <c r="A125" t="s">
        <v>382</v>
      </c>
      <c r="B125" t="s">
        <v>118</v>
      </c>
      <c r="C125" t="s">
        <v>11</v>
      </c>
    </row>
    <row r="126" spans="1:3">
      <c r="A126" t="s">
        <v>466</v>
      </c>
      <c r="B126" t="s">
        <v>212</v>
      </c>
      <c r="C126" t="s">
        <v>5</v>
      </c>
    </row>
    <row r="127" spans="1:3">
      <c r="A127" t="s">
        <v>390</v>
      </c>
      <c r="B127" t="s">
        <v>127</v>
      </c>
      <c r="C127" t="s">
        <v>5</v>
      </c>
    </row>
    <row r="128" spans="1:3">
      <c r="A128" t="s">
        <v>357</v>
      </c>
      <c r="B128" t="s">
        <v>91</v>
      </c>
      <c r="C128" t="s">
        <v>5</v>
      </c>
    </row>
    <row r="129" spans="1:3">
      <c r="A129" t="s">
        <v>496</v>
      </c>
      <c r="B129" t="s">
        <v>242</v>
      </c>
      <c r="C129" t="s">
        <v>11</v>
      </c>
    </row>
    <row r="130" spans="1:3">
      <c r="A130" t="s">
        <v>430</v>
      </c>
      <c r="B130" t="s">
        <v>173</v>
      </c>
      <c r="C130" t="s">
        <v>11</v>
      </c>
    </row>
    <row r="131" spans="1:3">
      <c r="A131" t="s">
        <v>505</v>
      </c>
      <c r="B131" t="s">
        <v>251</v>
      </c>
      <c r="C131" t="s">
        <v>5</v>
      </c>
    </row>
    <row r="132" spans="1:3">
      <c r="A132" t="s">
        <v>443</v>
      </c>
      <c r="B132" t="s">
        <v>187</v>
      </c>
      <c r="C132" t="s">
        <v>5</v>
      </c>
    </row>
    <row r="133" spans="1:3">
      <c r="A133" t="s">
        <v>515</v>
      </c>
      <c r="B133" t="s">
        <v>261</v>
      </c>
      <c r="C133" t="s">
        <v>16</v>
      </c>
    </row>
    <row r="134" spans="1:3">
      <c r="A134" t="s">
        <v>453</v>
      </c>
      <c r="B134" t="s">
        <v>197</v>
      </c>
      <c r="C134" t="s">
        <v>38</v>
      </c>
    </row>
    <row r="135" spans="1:3">
      <c r="A135" t="s">
        <v>336</v>
      </c>
      <c r="B135" t="s">
        <v>65</v>
      </c>
      <c r="C135" t="s">
        <v>11</v>
      </c>
    </row>
    <row r="136" spans="1:3">
      <c r="A136" t="s">
        <v>383</v>
      </c>
      <c r="B136" t="s">
        <v>119</v>
      </c>
      <c r="C136" t="s">
        <v>71</v>
      </c>
    </row>
    <row r="137" spans="1:3">
      <c r="A137" t="s">
        <v>422</v>
      </c>
      <c r="B137" t="s">
        <v>164</v>
      </c>
      <c r="C137" t="s">
        <v>16</v>
      </c>
    </row>
    <row r="138" spans="1:3">
      <c r="A138" t="s">
        <v>462</v>
      </c>
      <c r="B138" t="s">
        <v>208</v>
      </c>
      <c r="C138" t="s">
        <v>5</v>
      </c>
    </row>
    <row r="139" spans="1:3">
      <c r="A139" t="s">
        <v>313</v>
      </c>
      <c r="B139" t="s">
        <v>29</v>
      </c>
      <c r="C139" t="s">
        <v>5</v>
      </c>
    </row>
    <row r="140" spans="1:3">
      <c r="A140" t="s">
        <v>476</v>
      </c>
      <c r="B140" t="s">
        <v>222</v>
      </c>
      <c r="C140" t="s">
        <v>16</v>
      </c>
    </row>
    <row r="141" spans="1:3">
      <c r="A141" t="s">
        <v>349</v>
      </c>
      <c r="B141" t="s">
        <v>82</v>
      </c>
      <c r="C141" t="s">
        <v>38</v>
      </c>
    </row>
    <row r="142" spans="1:3">
      <c r="A142" t="s">
        <v>311</v>
      </c>
      <c r="B142" t="s">
        <v>22</v>
      </c>
      <c r="C142" t="s">
        <v>5</v>
      </c>
    </row>
    <row r="143" spans="1:3">
      <c r="A143" t="s">
        <v>525</v>
      </c>
      <c r="B143" t="s">
        <v>271</v>
      </c>
      <c r="C143" t="s">
        <v>16</v>
      </c>
    </row>
    <row r="144" spans="1:3">
      <c r="A144" t="s">
        <v>362</v>
      </c>
      <c r="B144" t="s">
        <v>96</v>
      </c>
      <c r="C144" t="s">
        <v>11</v>
      </c>
    </row>
    <row r="145" spans="1:3">
      <c r="A145" t="s">
        <v>373</v>
      </c>
      <c r="B145" t="s">
        <v>108</v>
      </c>
      <c r="C145" t="s">
        <v>5</v>
      </c>
    </row>
    <row r="146" spans="1:3">
      <c r="A146" t="s">
        <v>460</v>
      </c>
      <c r="B146" t="s">
        <v>205</v>
      </c>
      <c r="C146" t="s">
        <v>5</v>
      </c>
    </row>
    <row r="147" spans="1:3">
      <c r="A147" t="s">
        <v>433</v>
      </c>
      <c r="B147" t="s">
        <v>176</v>
      </c>
      <c r="C147" t="s">
        <v>5</v>
      </c>
    </row>
    <row r="148" spans="1:3">
      <c r="A148" t="s">
        <v>322</v>
      </c>
      <c r="B148" t="s">
        <v>46</v>
      </c>
      <c r="C148" t="s">
        <v>5</v>
      </c>
    </row>
    <row r="149" spans="1:3">
      <c r="A149" t="s">
        <v>447</v>
      </c>
      <c r="B149" t="s">
        <v>191</v>
      </c>
      <c r="C149" t="s">
        <v>16</v>
      </c>
    </row>
    <row r="150" spans="1:3">
      <c r="A150" t="s">
        <v>394</v>
      </c>
      <c r="B150" t="s">
        <v>132</v>
      </c>
      <c r="C150" t="s">
        <v>5</v>
      </c>
    </row>
    <row r="151" spans="1:3">
      <c r="A151" t="s">
        <v>356</v>
      </c>
      <c r="B151" t="s">
        <v>90</v>
      </c>
      <c r="C151" t="s">
        <v>16</v>
      </c>
    </row>
    <row r="152" spans="1:3">
      <c r="A152" t="s">
        <v>469</v>
      </c>
      <c r="B152" t="s">
        <v>215</v>
      </c>
      <c r="C152" t="s">
        <v>71</v>
      </c>
    </row>
    <row r="153" spans="1:3">
      <c r="A153" t="s">
        <v>503</v>
      </c>
      <c r="B153" t="s">
        <v>249</v>
      </c>
      <c r="C153" t="s">
        <v>71</v>
      </c>
    </row>
    <row r="154" spans="1:3">
      <c r="A154" t="s">
        <v>353</v>
      </c>
      <c r="B154" t="s">
        <v>87</v>
      </c>
      <c r="C154" t="s">
        <v>5</v>
      </c>
    </row>
    <row r="155" spans="1:3">
      <c r="A155" t="s">
        <v>397</v>
      </c>
      <c r="B155" t="s">
        <v>135</v>
      </c>
      <c r="C155" t="s">
        <v>16</v>
      </c>
    </row>
    <row r="156" spans="1:3">
      <c r="A156" t="s">
        <v>401</v>
      </c>
      <c r="B156" t="s">
        <v>142</v>
      </c>
      <c r="C156" t="s">
        <v>16</v>
      </c>
    </row>
    <row r="157" spans="1:3">
      <c r="A157" t="s">
        <v>315</v>
      </c>
      <c r="B157" t="s">
        <v>36</v>
      </c>
      <c r="C157" t="s">
        <v>34</v>
      </c>
    </row>
    <row r="158" spans="1:3">
      <c r="A158" t="s">
        <v>351</v>
      </c>
      <c r="B158" t="s">
        <v>85</v>
      </c>
      <c r="C158" t="s">
        <v>5</v>
      </c>
    </row>
    <row r="159" spans="1:3">
      <c r="A159" t="s">
        <v>431</v>
      </c>
      <c r="B159" t="s">
        <v>174</v>
      </c>
      <c r="C159" t="s">
        <v>5</v>
      </c>
    </row>
    <row r="160" spans="1:3">
      <c r="A160" t="s">
        <v>369</v>
      </c>
      <c r="B160" t="s">
        <v>103</v>
      </c>
      <c r="C160" t="s">
        <v>11</v>
      </c>
    </row>
    <row r="161" spans="1:3">
      <c r="A161" t="s">
        <v>512</v>
      </c>
      <c r="B161" t="s">
        <v>258</v>
      </c>
      <c r="C161" t="s">
        <v>5</v>
      </c>
    </row>
    <row r="162" spans="1:3">
      <c r="A162" t="s">
        <v>455</v>
      </c>
      <c r="B162" t="s">
        <v>199</v>
      </c>
      <c r="C162" t="s">
        <v>34</v>
      </c>
    </row>
    <row r="163" spans="1:3">
      <c r="A163" t="s">
        <v>475</v>
      </c>
      <c r="B163" t="s">
        <v>221</v>
      </c>
      <c r="C163" t="s">
        <v>38</v>
      </c>
    </row>
    <row r="164" spans="1:3">
      <c r="A164" t="s">
        <v>418</v>
      </c>
      <c r="B164" t="s">
        <v>160</v>
      </c>
      <c r="C164" t="s">
        <v>16</v>
      </c>
    </row>
    <row r="165" spans="1:3">
      <c r="A165" t="s">
        <v>522</v>
      </c>
      <c r="B165" t="s">
        <v>268</v>
      </c>
      <c r="C165" t="s">
        <v>16</v>
      </c>
    </row>
    <row r="166" spans="1:3">
      <c r="A166" t="s">
        <v>312</v>
      </c>
      <c r="B166" t="s">
        <v>26</v>
      </c>
      <c r="C166" t="s">
        <v>11</v>
      </c>
    </row>
    <row r="167" spans="1:3">
      <c r="A167" t="s">
        <v>366</v>
      </c>
      <c r="B167" t="s">
        <v>100</v>
      </c>
      <c r="C167" t="s">
        <v>16</v>
      </c>
    </row>
    <row r="168" spans="1:3">
      <c r="A168" t="s">
        <v>391</v>
      </c>
      <c r="B168" t="s">
        <v>128</v>
      </c>
      <c r="C168" t="s">
        <v>5</v>
      </c>
    </row>
    <row r="169" spans="1:3">
      <c r="A169" t="s">
        <v>327</v>
      </c>
      <c r="B169" t="s">
        <v>54</v>
      </c>
      <c r="C169" t="s">
        <v>5</v>
      </c>
    </row>
    <row r="170" spans="1:3">
      <c r="A170" t="s">
        <v>490</v>
      </c>
      <c r="B170" t="s">
        <v>236</v>
      </c>
      <c r="C170" t="s">
        <v>16</v>
      </c>
    </row>
    <row r="171" spans="1:3">
      <c r="A171" t="s">
        <v>444</v>
      </c>
      <c r="B171" t="s">
        <v>188</v>
      </c>
      <c r="C171" t="s">
        <v>5</v>
      </c>
    </row>
    <row r="172" spans="1:3">
      <c r="A172" t="s">
        <v>333</v>
      </c>
      <c r="B172" t="s">
        <v>61</v>
      </c>
      <c r="C172" t="s">
        <v>5</v>
      </c>
    </row>
    <row r="173" spans="1:3">
      <c r="A173" t="s">
        <v>440</v>
      </c>
      <c r="B173" t="s">
        <v>184</v>
      </c>
      <c r="C173" t="s">
        <v>16</v>
      </c>
    </row>
    <row r="174" spans="1:3">
      <c r="A174" t="s">
        <v>331</v>
      </c>
      <c r="B174" t="s">
        <v>59</v>
      </c>
      <c r="C174" t="s">
        <v>34</v>
      </c>
    </row>
    <row r="175" spans="1:3">
      <c r="A175" t="s">
        <v>368</v>
      </c>
      <c r="B175" t="s">
        <v>102</v>
      </c>
      <c r="C175" t="s">
        <v>5</v>
      </c>
    </row>
    <row r="176" spans="1:3">
      <c r="A176" t="s">
        <v>399</v>
      </c>
      <c r="B176" t="s">
        <v>139</v>
      </c>
      <c r="C176" t="s">
        <v>38</v>
      </c>
    </row>
    <row r="177" spans="1:3">
      <c r="A177" t="s">
        <v>395</v>
      </c>
      <c r="B177" t="s">
        <v>133</v>
      </c>
      <c r="C177" t="s">
        <v>38</v>
      </c>
    </row>
    <row r="178" spans="1:3">
      <c r="A178" t="s">
        <v>348</v>
      </c>
      <c r="B178" t="s">
        <v>80</v>
      </c>
      <c r="C178" t="s">
        <v>71</v>
      </c>
    </row>
    <row r="179" spans="1:3">
      <c r="A179" t="s">
        <v>377</v>
      </c>
      <c r="B179" t="s">
        <v>113</v>
      </c>
      <c r="C179" t="s">
        <v>16</v>
      </c>
    </row>
    <row r="180" spans="1:3">
      <c r="A180" t="s">
        <v>381</v>
      </c>
      <c r="B180" t="s">
        <v>117</v>
      </c>
      <c r="C180" t="s">
        <v>71</v>
      </c>
    </row>
    <row r="181" spans="1:3">
      <c r="A181" t="s">
        <v>499</v>
      </c>
      <c r="B181" t="s">
        <v>245</v>
      </c>
      <c r="C181" t="s">
        <v>38</v>
      </c>
    </row>
    <row r="182" spans="1:3">
      <c r="A182" t="s">
        <v>342</v>
      </c>
      <c r="B182" t="s">
        <v>72</v>
      </c>
      <c r="C182" t="s">
        <v>71</v>
      </c>
    </row>
    <row r="183" spans="1:3">
      <c r="A183" t="s">
        <v>510</v>
      </c>
      <c r="B183" t="s">
        <v>256</v>
      </c>
      <c r="C183" t="s">
        <v>34</v>
      </c>
    </row>
    <row r="184" spans="1:3">
      <c r="A184" t="s">
        <v>484</v>
      </c>
      <c r="B184" t="s">
        <v>231</v>
      </c>
      <c r="C184" t="s">
        <v>16</v>
      </c>
    </row>
    <row r="185" spans="1:3">
      <c r="A185" t="s">
        <v>516</v>
      </c>
      <c r="B185" t="s">
        <v>262</v>
      </c>
      <c r="C185" t="s">
        <v>5</v>
      </c>
    </row>
    <row r="186" spans="1:3">
      <c r="A186" t="s">
        <v>371</v>
      </c>
      <c r="B186" t="s">
        <v>106</v>
      </c>
      <c r="C186" t="s">
        <v>16</v>
      </c>
    </row>
    <row r="187" spans="1:3">
      <c r="A187" t="s">
        <v>442</v>
      </c>
      <c r="B187" t="s">
        <v>186</v>
      </c>
      <c r="C187" t="s">
        <v>34</v>
      </c>
    </row>
    <row r="188" spans="1:3">
      <c r="A188" t="s">
        <v>463</v>
      </c>
      <c r="B188" t="s">
        <v>209</v>
      </c>
      <c r="C188" t="s">
        <v>34</v>
      </c>
    </row>
    <row r="189" spans="1:3">
      <c r="A189" t="s">
        <v>423</v>
      </c>
      <c r="B189" t="s">
        <v>165</v>
      </c>
      <c r="C189" t="s">
        <v>38</v>
      </c>
    </row>
    <row r="190" spans="1:3">
      <c r="A190" t="s">
        <v>410</v>
      </c>
      <c r="B190" t="s">
        <v>151</v>
      </c>
      <c r="C190" t="s">
        <v>71</v>
      </c>
    </row>
    <row r="191" spans="1:3">
      <c r="A191" t="s">
        <v>426</v>
      </c>
      <c r="B191" t="s">
        <v>168</v>
      </c>
      <c r="C191" t="s">
        <v>38</v>
      </c>
    </row>
    <row r="192" spans="1:3">
      <c r="A192" t="s">
        <v>424</v>
      </c>
      <c r="B192" t="s">
        <v>166</v>
      </c>
      <c r="C192" t="s">
        <v>5</v>
      </c>
    </row>
    <row r="193" spans="1:3">
      <c r="A193" t="s">
        <v>486</v>
      </c>
      <c r="B193" t="s">
        <v>36</v>
      </c>
      <c r="C193" t="s">
        <v>34</v>
      </c>
    </row>
    <row r="194" spans="1:3">
      <c r="A194" t="s">
        <v>374</v>
      </c>
      <c r="B194" t="s">
        <v>109</v>
      </c>
      <c r="C194" t="s">
        <v>38</v>
      </c>
    </row>
    <row r="195" spans="1:3">
      <c r="A195" t="s">
        <v>385</v>
      </c>
      <c r="B195" t="s">
        <v>122</v>
      </c>
      <c r="C195" t="s">
        <v>11</v>
      </c>
    </row>
    <row r="196" spans="1:3">
      <c r="A196" t="s">
        <v>482</v>
      </c>
      <c r="B196" t="s">
        <v>229</v>
      </c>
      <c r="C196" t="s">
        <v>16</v>
      </c>
    </row>
    <row r="197" spans="1:3">
      <c r="A197" t="s">
        <v>480</v>
      </c>
      <c r="B197" t="s">
        <v>227</v>
      </c>
      <c r="C197" t="s">
        <v>5</v>
      </c>
    </row>
    <row r="198" spans="1:3">
      <c r="A198" t="s">
        <v>435</v>
      </c>
      <c r="B198" t="s">
        <v>178</v>
      </c>
      <c r="C198" t="s">
        <v>5</v>
      </c>
    </row>
    <row r="199" spans="1:3">
      <c r="A199" t="s">
        <v>402</v>
      </c>
      <c r="B199" t="s">
        <v>143</v>
      </c>
      <c r="C199" t="s">
        <v>38</v>
      </c>
    </row>
    <row r="200" spans="1:3">
      <c r="A200" t="s">
        <v>379</v>
      </c>
      <c r="B200" t="s">
        <v>115</v>
      </c>
      <c r="C200" t="s">
        <v>34</v>
      </c>
    </row>
    <row r="201" spans="1:3">
      <c r="A201" t="s">
        <v>339</v>
      </c>
      <c r="B201" t="s">
        <v>68</v>
      </c>
      <c r="C201" t="s">
        <v>16</v>
      </c>
    </row>
    <row r="202" spans="1:3">
      <c r="A202" t="s">
        <v>386</v>
      </c>
      <c r="B202" t="s">
        <v>123</v>
      </c>
      <c r="C202" t="s">
        <v>5</v>
      </c>
    </row>
    <row r="203" spans="1:3">
      <c r="A203" t="s">
        <v>360</v>
      </c>
      <c r="B203" t="s">
        <v>94</v>
      </c>
      <c r="C203" t="s">
        <v>5</v>
      </c>
    </row>
    <row r="204" spans="1:3">
      <c r="A204" t="s">
        <v>403</v>
      </c>
      <c r="B204" t="s">
        <v>144</v>
      </c>
      <c r="C204" t="s">
        <v>38</v>
      </c>
    </row>
    <row r="205" spans="1:3">
      <c r="A205" t="s">
        <v>517</v>
      </c>
      <c r="B205" t="s">
        <v>263</v>
      </c>
      <c r="C205" t="s">
        <v>11</v>
      </c>
    </row>
    <row r="206" spans="1:3">
      <c r="A206" t="s">
        <v>324</v>
      </c>
      <c r="B206" t="s">
        <v>50</v>
      </c>
      <c r="C206" t="s">
        <v>11</v>
      </c>
    </row>
    <row r="207" spans="1:3">
      <c r="A207" t="s">
        <v>457</v>
      </c>
      <c r="B207" t="s">
        <v>201</v>
      </c>
      <c r="C207" t="s">
        <v>16</v>
      </c>
    </row>
    <row r="208" spans="1:3">
      <c r="A208" t="s">
        <v>375</v>
      </c>
      <c r="B208" t="s">
        <v>110</v>
      </c>
      <c r="C208" t="s">
        <v>16</v>
      </c>
    </row>
    <row r="209" spans="1:3">
      <c r="A209" t="s">
        <v>328</v>
      </c>
      <c r="B209" t="s">
        <v>55</v>
      </c>
      <c r="C209" t="s">
        <v>38</v>
      </c>
    </row>
    <row r="210" spans="1:3">
      <c r="A210" t="s">
        <v>413</v>
      </c>
      <c r="B210" t="s">
        <v>155</v>
      </c>
      <c r="C210" t="s">
        <v>34</v>
      </c>
    </row>
    <row r="211" spans="1:3">
      <c r="A211" t="s">
        <v>437</v>
      </c>
      <c r="B211" t="s">
        <v>180</v>
      </c>
      <c r="C211" t="s">
        <v>11</v>
      </c>
    </row>
    <row r="212" spans="1:3">
      <c r="A212" t="s">
        <v>400</v>
      </c>
      <c r="B212" t="s">
        <v>140</v>
      </c>
      <c r="C212" t="s">
        <v>5</v>
      </c>
    </row>
    <row r="213" spans="1:3">
      <c r="A213" t="s">
        <v>380</v>
      </c>
      <c r="B213" t="s">
        <v>116</v>
      </c>
      <c r="C213" t="s">
        <v>16</v>
      </c>
    </row>
    <row r="214" spans="1:3">
      <c r="A214" t="s">
        <v>412</v>
      </c>
      <c r="B214" t="s">
        <v>154</v>
      </c>
      <c r="C214" t="s">
        <v>16</v>
      </c>
    </row>
    <row r="215" spans="1:3">
      <c r="A215" t="s">
        <v>501</v>
      </c>
      <c r="B215" t="s">
        <v>247</v>
      </c>
      <c r="C215" t="s">
        <v>11</v>
      </c>
    </row>
    <row r="216" spans="1:3">
      <c r="A216" t="s">
        <v>378</v>
      </c>
      <c r="B216" t="s">
        <v>114</v>
      </c>
      <c r="C216" t="s">
        <v>34</v>
      </c>
    </row>
    <row r="217" spans="1:3">
      <c r="A217" t="s">
        <v>346</v>
      </c>
      <c r="B217" t="s">
        <v>78</v>
      </c>
      <c r="C217" t="s">
        <v>34</v>
      </c>
    </row>
    <row r="218" spans="1:3">
      <c r="A218" t="s">
        <v>485</v>
      </c>
      <c r="B218" t="s">
        <v>232</v>
      </c>
      <c r="C218" t="s">
        <v>11</v>
      </c>
    </row>
    <row r="219" spans="1:3">
      <c r="A219" t="s">
        <v>416</v>
      </c>
      <c r="B219" t="s">
        <v>158</v>
      </c>
      <c r="C21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data-dictionaries</vt:lpstr>
      <vt:lpstr>Task 1c</vt:lpstr>
      <vt:lpstr>terracotta-survey</vt:lpstr>
      <vt:lpstr>plant-info</vt:lpstr>
      <vt:lpstr>free-response-analysis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Rueda, Sofia</cp:lastModifiedBy>
  <dcterms:created xsi:type="dcterms:W3CDTF">2023-04-28T01:00:54Z</dcterms:created>
  <dcterms:modified xsi:type="dcterms:W3CDTF">2025-07-02T21:06:46Z</dcterms:modified>
</cp:coreProperties>
</file>