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ofiarueda/Downloads/"/>
    </mc:Choice>
  </mc:AlternateContent>
  <xr:revisionPtr revIDLastSave="0" documentId="8_{28FE1FD8-4C82-EE48-9C26-825A19119022}" xr6:coauthVersionLast="47" xr6:coauthVersionMax="47" xr10:uidLastSave="{00000000-0000-0000-0000-000000000000}"/>
  <bookViews>
    <workbookView xWindow="12060" yWindow="520" windowWidth="16640" windowHeight="16000" activeTab="1" xr2:uid="{9286CF4F-9707-3947-9802-888D81C6D7A5}"/>
  </bookViews>
  <sheets>
    <sheet name="Spotify_playlist" sheetId="2" r:id="rId1"/>
    <sheet name="Spotify" sheetId="1" r:id="rId2"/>
  </sheets>
  <definedNames>
    <definedName name="_xlnm._FilterDatabase" localSheetId="1" hidden="1">Spotify!$A$1:$I$604</definedName>
  </definedNames>
  <calcPr calcId="191028"/>
  <pivotCaches>
    <pivotCache cacheId="29" r:id="rId3"/>
    <pivotCache cacheId="3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2" i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" i="2"/>
</calcChain>
</file>

<file path=xl/sharedStrings.xml><?xml version="1.0" encoding="utf-8"?>
<sst xmlns="http://schemas.openxmlformats.org/spreadsheetml/2006/main" count="2169" uniqueCount="843">
  <si>
    <t>track</t>
  </si>
  <si>
    <t>title</t>
  </si>
  <si>
    <t>artist</t>
  </si>
  <si>
    <t>duration</t>
  </si>
  <si>
    <t>cell referencing</t>
  </si>
  <si>
    <t>Shape of You</t>
  </si>
  <si>
    <t>Ed Sheeran</t>
  </si>
  <si>
    <t>Mama</t>
  </si>
  <si>
    <t>Jonas Blue</t>
  </si>
  <si>
    <t>Swish Swish</t>
  </si>
  <si>
    <t>Katy Perry</t>
  </si>
  <si>
    <t>Summer Bummer (feat. A$AP Rocky &amp; Playboi Carti)</t>
  </si>
  <si>
    <t>Lana Del Rey</t>
  </si>
  <si>
    <t>Despacito - Remix</t>
  </si>
  <si>
    <t>Luis Fonsi</t>
  </si>
  <si>
    <t>Mercy</t>
  </si>
  <si>
    <t>Shawn Mendes</t>
  </si>
  <si>
    <t>Closer</t>
  </si>
  <si>
    <t>The Chainsmokers</t>
  </si>
  <si>
    <t>no tears left to cry</t>
  </si>
  <si>
    <t>Ariana Grande</t>
  </si>
  <si>
    <t>We Are Young (feat. Janelle Monae)</t>
  </si>
  <si>
    <t>fun.</t>
  </si>
  <si>
    <t>Finesse - Remix; feat. Cardi B</t>
  </si>
  <si>
    <t>Bruno Mars</t>
  </si>
  <si>
    <t>One Kiss (with Dua Lipa)</t>
  </si>
  <si>
    <t>Calvin Harris</t>
  </si>
  <si>
    <t>Wild Thoughts (feat. Rihanna &amp; Bryson Tiller)</t>
  </si>
  <si>
    <t>DJ Khaled</t>
  </si>
  <si>
    <t>Bad At Love</t>
  </si>
  <si>
    <t>Halsey</t>
  </si>
  <si>
    <t>Sign of the Times</t>
  </si>
  <si>
    <t>Harry Styles</t>
  </si>
  <si>
    <t>What Lovers Do (feat. SZA)</t>
  </si>
  <si>
    <t>Maroon 5</t>
  </si>
  <si>
    <t>Girls (feat. Cardi B, Bebe Rexha &amp; Charli XCX)</t>
  </si>
  <si>
    <t>Rita Ora</t>
  </si>
  <si>
    <t>There's Nothing Holdin' Me Back</t>
  </si>
  <si>
    <t>South of the Border (feat. Camila Cabello &amp; Cardi B)</t>
  </si>
  <si>
    <t>I Don't Care (with Justin Bieber)</t>
  </si>
  <si>
    <t>Happier</t>
  </si>
  <si>
    <t>Marshmello</t>
  </si>
  <si>
    <t>genre</t>
  </si>
  <si>
    <t>year</t>
  </si>
  <si>
    <t>danceability</t>
  </si>
  <si>
    <t>duration_s</t>
  </si>
  <si>
    <t>energy</t>
  </si>
  <si>
    <t>tempo_bpm</t>
  </si>
  <si>
    <t>popularity</t>
  </si>
  <si>
    <t>My First Kiss - feat. Ke$ha</t>
  </si>
  <si>
    <t>3OH!3</t>
  </si>
  <si>
    <t>dance pop</t>
  </si>
  <si>
    <t>Whataya Want from Me</t>
  </si>
  <si>
    <t>Adam Lambert</t>
  </si>
  <si>
    <t>australian pop</t>
  </si>
  <si>
    <t>If I Had You</t>
  </si>
  <si>
    <t>Empire State of Mind (Part II) Broken Down</t>
  </si>
  <si>
    <t>Alicia Keys</t>
  </si>
  <si>
    <t>hip pop</t>
  </si>
  <si>
    <t>Try Sleeping with a Broken Heart</t>
  </si>
  <si>
    <t>Doesn't Mean Anything</t>
  </si>
  <si>
    <t>Britney Spears</t>
  </si>
  <si>
    <t>Just the Way You Are</t>
  </si>
  <si>
    <t>pop</t>
  </si>
  <si>
    <t>Marry You</t>
  </si>
  <si>
    <t>Bound To You - Burlesque Original Motion Picture Soundtrack</t>
  </si>
  <si>
    <t>Christina Aguilera</t>
  </si>
  <si>
    <t>Something's Got A Hold On Me - Burlesque Original Motion Picture Soundtrack</t>
  </si>
  <si>
    <t>You Lost Me</t>
  </si>
  <si>
    <t>Not Myself Tonight</t>
  </si>
  <si>
    <t>Sexy Bitch (feat. Akon)</t>
  </si>
  <si>
    <t>David Guetta</t>
  </si>
  <si>
    <t>Love The Way You Lie</t>
  </si>
  <si>
    <t>Eminem</t>
  </si>
  <si>
    <t>detroit hip hop</t>
  </si>
  <si>
    <t>I Like It</t>
  </si>
  <si>
    <t>Enrique Iglesias</t>
  </si>
  <si>
    <t>Like A G6</t>
  </si>
  <si>
    <t>Far East Movement</t>
  </si>
  <si>
    <t>Club Can't Handle Me (feat. David Guetta)</t>
  </si>
  <si>
    <t>Flo Rida</t>
  </si>
  <si>
    <t>Dog Days Are Over</t>
  </si>
  <si>
    <t>Florence + The Machine</t>
  </si>
  <si>
    <t>art pop</t>
  </si>
  <si>
    <t>Baby</t>
  </si>
  <si>
    <t>Justin Bieber</t>
  </si>
  <si>
    <t>canadian pop</t>
  </si>
  <si>
    <t>Teenage Dream</t>
  </si>
  <si>
    <t>California Gurls</t>
  </si>
  <si>
    <t>TiK ToK</t>
  </si>
  <si>
    <t>Kesha</t>
  </si>
  <si>
    <t>Your Love Is My Drug</t>
  </si>
  <si>
    <t>Take It Off</t>
  </si>
  <si>
    <t>Blah Blah Blah (feat. 3OH!3)</t>
  </si>
  <si>
    <t>Bad Romance</t>
  </si>
  <si>
    <t>Lady Gaga</t>
  </si>
  <si>
    <t>Telephone</t>
  </si>
  <si>
    <t>Alejandro</t>
  </si>
  <si>
    <t>Misery</t>
  </si>
  <si>
    <t>Hello</t>
  </si>
  <si>
    <t>Martin Solveig</t>
  </si>
  <si>
    <t>big room</t>
  </si>
  <si>
    <t>Cooler Than Me - Single Mix</t>
  </si>
  <si>
    <t>Mike Posner</t>
  </si>
  <si>
    <t>Animal</t>
  </si>
  <si>
    <t>Neon Trees</t>
  </si>
  <si>
    <t>indie pop</t>
  </si>
  <si>
    <t>Secrets</t>
  </si>
  <si>
    <t>OneRepublic</t>
  </si>
  <si>
    <t>All The Right Moves</t>
  </si>
  <si>
    <t>Only Girl (In The World)</t>
  </si>
  <si>
    <t>Rihanna</t>
  </si>
  <si>
    <t>barbadian pop</t>
  </si>
  <si>
    <t>Hard</t>
  </si>
  <si>
    <t>Eenie Meenie</t>
  </si>
  <si>
    <t>Sean Kingston</t>
  </si>
  <si>
    <t>Naturally</t>
  </si>
  <si>
    <t>Selena Gomez &amp; The Scene</t>
  </si>
  <si>
    <t>Loca</t>
  </si>
  <si>
    <t>Shakira</t>
  </si>
  <si>
    <t>colombian pop</t>
  </si>
  <si>
    <t>Castle Walls (feat. Christina Aguilera)</t>
  </si>
  <si>
    <t>T.I.</t>
  </si>
  <si>
    <t>atl hip hop</t>
  </si>
  <si>
    <t>Dynamite</t>
  </si>
  <si>
    <t>Taio Cruz</t>
  </si>
  <si>
    <t>Break Your Heart</t>
  </si>
  <si>
    <t>The Time (Dirty Bit)</t>
  </si>
  <si>
    <t>The Black Eyed Peas</t>
  </si>
  <si>
    <t>Meet Me Halfway</t>
  </si>
  <si>
    <t>Imma Be</t>
  </si>
  <si>
    <t>Rock That Body</t>
  </si>
  <si>
    <t>Written in the Stars (feat. Eric Turner)</t>
  </si>
  <si>
    <t>Tinie Tempah</t>
  </si>
  <si>
    <t>Hey, Soul Sister</t>
  </si>
  <si>
    <t>Train</t>
  </si>
  <si>
    <t>neo mellow</t>
  </si>
  <si>
    <t>OMG (feat. will.i.am)</t>
  </si>
  <si>
    <t>Usher</t>
  </si>
  <si>
    <t>DJ Got Us Fallin' In Love (feat. Pitbull)</t>
  </si>
  <si>
    <t>Someone Like You</t>
  </si>
  <si>
    <t>Adele</t>
  </si>
  <si>
    <t>british soul</t>
  </si>
  <si>
    <t>Rolling in the Deep</t>
  </si>
  <si>
    <t>What the Hell</t>
  </si>
  <si>
    <t>Avril Lavigne</t>
  </si>
  <si>
    <t>Love On Top</t>
  </si>
  <si>
    <t>Beyonce</t>
  </si>
  <si>
    <t>Run the World (Girls)</t>
  </si>
  <si>
    <t>Best Thing I Never Had</t>
  </si>
  <si>
    <t>1+1</t>
  </si>
  <si>
    <t>Till the World Ends</t>
  </si>
  <si>
    <t>I Wanna Go</t>
  </si>
  <si>
    <t>Hold It Against Me</t>
  </si>
  <si>
    <t>Grenade</t>
  </si>
  <si>
    <t>Yeah 3x</t>
  </si>
  <si>
    <t>Chris Brown</t>
  </si>
  <si>
    <t>A Thousand Years</t>
  </si>
  <si>
    <t>Christina Perri</t>
  </si>
  <si>
    <t>Jar of Hearts</t>
  </si>
  <si>
    <t>Without You (feat. Usher)</t>
  </si>
  <si>
    <t>Tonight (I'm Fuckin' You)</t>
  </si>
  <si>
    <t>Tonight Tonight</t>
  </si>
  <si>
    <t>Hot Chelle Rae</t>
  </si>
  <si>
    <t>On The Floor</t>
  </si>
  <si>
    <t>Jennifer Lopez</t>
  </si>
  <si>
    <t>I'm Into You</t>
  </si>
  <si>
    <t>Papi</t>
  </si>
  <si>
    <t>Invading My Mind</t>
  </si>
  <si>
    <t>Price Tag</t>
  </si>
  <si>
    <t>Jessie J</t>
  </si>
  <si>
    <t>Monster</t>
  </si>
  <si>
    <t>Kanye West</t>
  </si>
  <si>
    <t>chicago rap</t>
  </si>
  <si>
    <t>E.T.</t>
  </si>
  <si>
    <t>Last Friday Night (T.G.I.F.)</t>
  </si>
  <si>
    <t>Firework</t>
  </si>
  <si>
    <t>We R Who We R</t>
  </si>
  <si>
    <t>Blow</t>
  </si>
  <si>
    <t>Born This Way</t>
  </si>
  <si>
    <t>The Edge Of Glory</t>
  </si>
  <si>
    <t>You And I</t>
  </si>
  <si>
    <t>Judas</t>
  </si>
  <si>
    <t>Marry The Night</t>
  </si>
  <si>
    <t>Party Rock Anthem</t>
  </si>
  <si>
    <t>LMFAO</t>
  </si>
  <si>
    <t>Sexy And I Know It</t>
  </si>
  <si>
    <t>Moves Like Jagger - Studio Recording From The Voice Performance</t>
  </si>
  <si>
    <t>Please Don't Go</t>
  </si>
  <si>
    <t>Super Bass</t>
  </si>
  <si>
    <t>Nicki Minaj</t>
  </si>
  <si>
    <t>Moment 4 Life - Album Version (Edited)</t>
  </si>
  <si>
    <t>Muny - Album Version (Edited)</t>
  </si>
  <si>
    <t>Good Life</t>
  </si>
  <si>
    <t>Raise Your Glass</t>
  </si>
  <si>
    <t>P!nk</t>
  </si>
  <si>
    <t>Give Me Everything</t>
  </si>
  <si>
    <t>Pitbull</t>
  </si>
  <si>
    <t>What's My Name?</t>
  </si>
  <si>
    <t>We Found Love</t>
  </si>
  <si>
    <t>Cheers (Drink To That)</t>
  </si>
  <si>
    <t>S&amp;M Remix</t>
  </si>
  <si>
    <t>Turning Page</t>
  </si>
  <si>
    <t>Sleeping At Last</t>
  </si>
  <si>
    <t>acoustic pop</t>
  </si>
  <si>
    <t>Just Can抰 Get Enough</t>
  </si>
  <si>
    <t>Set Fire to the Rain</t>
  </si>
  <si>
    <t>Locked Out of Heaven</t>
  </si>
  <si>
    <t>It Will Rain</t>
  </si>
  <si>
    <t>Call Me Maybe</t>
  </si>
  <si>
    <t>Carly Rae Jepsen</t>
  </si>
  <si>
    <t>Turn Up the Music</t>
  </si>
  <si>
    <t>Paradise</t>
  </si>
  <si>
    <t>Coldplay</t>
  </si>
  <si>
    <t>permanent wave</t>
  </si>
  <si>
    <t>Titanium (feat. Sia)</t>
  </si>
  <si>
    <t>Lights - Single Version</t>
  </si>
  <si>
    <t>Ellie Goulding</t>
  </si>
  <si>
    <t>Some Nights</t>
  </si>
  <si>
    <t>baroque pop</t>
  </si>
  <si>
    <t>We Are Young (feat. Janelle Mon醗)</t>
  </si>
  <si>
    <t>Stereo Hearts (feat. Adam Levine)</t>
  </si>
  <si>
    <t>Gym Class Heroes</t>
  </si>
  <si>
    <t>Dance Again</t>
  </si>
  <si>
    <t>Domino</t>
  </si>
  <si>
    <t>Beauty And A Beat</t>
  </si>
  <si>
    <t>Boyfriend</t>
  </si>
  <si>
    <t>Part Of Me</t>
  </si>
  <si>
    <t>Wide Awake</t>
  </si>
  <si>
    <t>The One That Got Away</t>
  </si>
  <si>
    <t>Stronger (What Doesn't Kill You)</t>
  </si>
  <si>
    <t>Kelly Clarkson</t>
  </si>
  <si>
    <t>Payphone</t>
  </si>
  <si>
    <t>One More Night</t>
  </si>
  <si>
    <t>Starships</t>
  </si>
  <si>
    <t>What Makes You Beautiful</t>
  </si>
  <si>
    <t>One Direction</t>
  </si>
  <si>
    <t>boy band</t>
  </si>
  <si>
    <t>Good Time</t>
  </si>
  <si>
    <t>Owl City</t>
  </si>
  <si>
    <t>Try</t>
  </si>
  <si>
    <t>Blow Me (One Last Kiss)</t>
  </si>
  <si>
    <t>International Love</t>
  </si>
  <si>
    <t>Don't Stop the Party (feat. TJR)</t>
  </si>
  <si>
    <t>Where Have You Been</t>
  </si>
  <si>
    <t>Diamonds</t>
  </si>
  <si>
    <t>You Da One</t>
  </si>
  <si>
    <t>Love You Like A Love Song</t>
  </si>
  <si>
    <t>I Knew You Were Trouble.</t>
  </si>
  <si>
    <t>Taylor Swift</t>
  </si>
  <si>
    <t>We Are Never Ever Getting Back Together</t>
  </si>
  <si>
    <t>Glad You Came</t>
  </si>
  <si>
    <t>The Wanted</t>
  </si>
  <si>
    <t>Girl On Fire (feat. Nicki Minaj) - Inferno Version</t>
  </si>
  <si>
    <t>The Way</t>
  </si>
  <si>
    <t>What About Love</t>
  </si>
  <si>
    <t>Austin Mahone</t>
  </si>
  <si>
    <t>Wake Me Up</t>
  </si>
  <si>
    <t>Avicii</t>
  </si>
  <si>
    <t>Rock N Roll</t>
  </si>
  <si>
    <t>Work Bitch</t>
  </si>
  <si>
    <t>Ooh La La (from "The Smurfs 2")</t>
  </si>
  <si>
    <t>Under Control</t>
  </si>
  <si>
    <t>Sweet Nothing (feat. Florence Welch)</t>
  </si>
  <si>
    <t>Overdose</t>
  </si>
  <si>
    <t>Ciara</t>
  </si>
  <si>
    <t>Atlas - From 揟he Hunger Games: Catching Fire?Soundtrack</t>
  </si>
  <si>
    <t>Get Lucky (feat. Pharrell Williams &amp; Nile Rodgers) - Radio Edit</t>
  </si>
  <si>
    <t>Daft Punk</t>
  </si>
  <si>
    <t>electro</t>
  </si>
  <si>
    <t>Lose Yourself to Dance</t>
  </si>
  <si>
    <t>Play Hard (feat. Ne-Yo &amp; Akon) - New Edit</t>
  </si>
  <si>
    <t>Heart Attack</t>
  </si>
  <si>
    <t>Demi Lovato</t>
  </si>
  <si>
    <t>Made In The USA</t>
  </si>
  <si>
    <t>Hold On, We're Going Home</t>
  </si>
  <si>
    <t>Drake</t>
  </si>
  <si>
    <t>canadian hip hop</t>
  </si>
  <si>
    <t>Anything Could Happen</t>
  </si>
  <si>
    <t>Clown</t>
  </si>
  <si>
    <t>Emeli Sande</t>
  </si>
  <si>
    <t>Next To Me</t>
  </si>
  <si>
    <t>Finally Found You</t>
  </si>
  <si>
    <t>A Little Party Never Killed Nobody (All We Got)</t>
  </si>
  <si>
    <t>Fergie</t>
  </si>
  <si>
    <t>I Love It (feat. Charli XCX)</t>
  </si>
  <si>
    <t>Icona Pop</t>
  </si>
  <si>
    <t>candy pop</t>
  </si>
  <si>
    <t>Impossible</t>
  </si>
  <si>
    <t>James Arthur</t>
  </si>
  <si>
    <t>Live It Up</t>
  </si>
  <si>
    <t>Foolish Games</t>
  </si>
  <si>
    <t>Jewel</t>
  </si>
  <si>
    <t>alaska indie</t>
  </si>
  <si>
    <t>Pom Poms</t>
  </si>
  <si>
    <t>Jonas Brothers</t>
  </si>
  <si>
    <t>Heartbreaker</t>
  </si>
  <si>
    <t>Suit &amp; Tie</t>
  </si>
  <si>
    <t>Justin Timberlake</t>
  </si>
  <si>
    <t>Mirrors - Radio Edit</t>
  </si>
  <si>
    <t>TKO</t>
  </si>
  <si>
    <t>Take Back the Night</t>
  </si>
  <si>
    <t>Roar</t>
  </si>
  <si>
    <t>Underneath the Tree</t>
  </si>
  <si>
    <t>People Like Us</t>
  </si>
  <si>
    <t>Freak</t>
  </si>
  <si>
    <t>Kelly Rowland</t>
  </si>
  <si>
    <t>Die Young</t>
  </si>
  <si>
    <t>Crazy Kids (feat. will.i.am)</t>
  </si>
  <si>
    <t>Beneath Your Beautiful</t>
  </si>
  <si>
    <t>Labrinth</t>
  </si>
  <si>
    <t>Applause</t>
  </si>
  <si>
    <t>Summertime Sadness (Lana Del Rey Vs. Cedric Gervais) - Cedric Gervais Remix</t>
  </si>
  <si>
    <t>Move</t>
  </si>
  <si>
    <t>Little Mix</t>
  </si>
  <si>
    <t>How Ya Doin'? (feat. Missy Elliott)</t>
  </si>
  <si>
    <t>Can't Hold Us (feat. Ray Dalton)</t>
  </si>
  <si>
    <t>Macklemore &amp; Ryan Lewis</t>
  </si>
  <si>
    <t>Thrift Shop (feat. Wanz)</t>
  </si>
  <si>
    <t>#Beautiful</t>
  </si>
  <si>
    <t>Mariah Carey</t>
  </si>
  <si>
    <t>Daylight</t>
  </si>
  <si>
    <t>Love Somebody</t>
  </si>
  <si>
    <t>We Can't Stop</t>
  </si>
  <si>
    <t>Miley Cyrus</t>
  </si>
  <si>
    <t>Wrecking Ball</t>
  </si>
  <si>
    <t>Everybody Talks</t>
  </si>
  <si>
    <t>Let Me Love You (Until You Learn To Love Yourself)</t>
  </si>
  <si>
    <t>Ne-Yo</t>
  </si>
  <si>
    <t>Story of My Life</t>
  </si>
  <si>
    <t>Best Song Ever</t>
  </si>
  <si>
    <t>Kiss You</t>
  </si>
  <si>
    <t>If I Lose Myself - Alesso vs OneRepublic</t>
  </si>
  <si>
    <t>Just Give Me a Reason (feat. Nate Ruess)</t>
  </si>
  <si>
    <t>Feel This Moment (feat. Christina Aguilera)</t>
  </si>
  <si>
    <t>Outta Nowhere (feat. Danny Mercer)</t>
  </si>
  <si>
    <t>Right Now - Dyro Radio Edit</t>
  </si>
  <si>
    <t>Blurred Lines</t>
  </si>
  <si>
    <t>Robin Thicke</t>
  </si>
  <si>
    <t>Give It 2 U</t>
  </si>
  <si>
    <t>Brave</t>
  </si>
  <si>
    <t>Sara Bareilles</t>
  </si>
  <si>
    <t>Come &amp; Get It</t>
  </si>
  <si>
    <t>Selena Gomez</t>
  </si>
  <si>
    <t>Don't You Worry Child - Radio Edit</t>
  </si>
  <si>
    <t>Swedish House Mafia</t>
  </si>
  <si>
    <t>Hall of Fame</t>
  </si>
  <si>
    <t>The Script</t>
  </si>
  <si>
    <t>celtic rock</t>
  </si>
  <si>
    <t>Walks Like Rihanna</t>
  </si>
  <si>
    <t>We Own The Night</t>
  </si>
  <si>
    <t>#thatPOWER</t>
  </si>
  <si>
    <t>will.i.am</t>
  </si>
  <si>
    <t>Clarity</t>
  </si>
  <si>
    <t>Zedd</t>
  </si>
  <si>
    <t>complextro</t>
  </si>
  <si>
    <t>She Looks So Perfect</t>
  </si>
  <si>
    <t>5 Seconds of Summer</t>
  </si>
  <si>
    <t>Say Something</t>
  </si>
  <si>
    <t>A Great Big World</t>
  </si>
  <si>
    <t>It's On Again - Main Soundtrack</t>
  </si>
  <si>
    <t>Problem</t>
  </si>
  <si>
    <t>Mmm Yeah (feat. Pitbull)</t>
  </si>
  <si>
    <t>Hey Brother</t>
  </si>
  <si>
    <t>Pompeii</t>
  </si>
  <si>
    <t>Bastille</t>
  </si>
  <si>
    <t>metropopolis</t>
  </si>
  <si>
    <t>Partition</t>
  </si>
  <si>
    <t>XO</t>
  </si>
  <si>
    <t>Drunk in Love</t>
  </si>
  <si>
    <t>Wings</t>
  </si>
  <si>
    <t>Birdy</t>
  </si>
  <si>
    <t>Not About Angels</t>
  </si>
  <si>
    <t>Tee Shirt - Soundtrack Version</t>
  </si>
  <si>
    <t>Words as Weapons</t>
  </si>
  <si>
    <t>Treasure</t>
  </si>
  <si>
    <t>Gorilla</t>
  </si>
  <si>
    <t>Young Girls</t>
  </si>
  <si>
    <t>Summer</t>
  </si>
  <si>
    <t>Boom Clap - From the Motion Picture Das Schicksal ist ein mieser Verr鋞er</t>
  </si>
  <si>
    <t>Charli XCX</t>
  </si>
  <si>
    <t>human</t>
  </si>
  <si>
    <t>A Sky Full of Stars</t>
  </si>
  <si>
    <t>Shot Me Down (feat. Skylar Grey) - Radio Edit</t>
  </si>
  <si>
    <t>Let It Go - From "Frozen / Single Version</t>
  </si>
  <si>
    <t>Latch</t>
  </si>
  <si>
    <t>Disclosure</t>
  </si>
  <si>
    <t>house</t>
  </si>
  <si>
    <t>Burn</t>
  </si>
  <si>
    <t>Fancy</t>
  </si>
  <si>
    <t>Iggy Azalea</t>
  </si>
  <si>
    <t>australian hip hop</t>
  </si>
  <si>
    <t>Talk Dirty (feat. 2 Chainz)</t>
  </si>
  <si>
    <t>Jason Derulo</t>
  </si>
  <si>
    <t>Wiggle (feat. Snoop Dogg)</t>
  </si>
  <si>
    <t>I Luh Ya Papi</t>
  </si>
  <si>
    <t>All of Me</t>
  </si>
  <si>
    <t>John Legend</t>
  </si>
  <si>
    <t>Love Me Again</t>
  </si>
  <si>
    <t>John Newman</t>
  </si>
  <si>
    <t>Not a Bad Thing</t>
  </si>
  <si>
    <t>Dark Horse</t>
  </si>
  <si>
    <t>This Is How We Do</t>
  </si>
  <si>
    <t>Birthday</t>
  </si>
  <si>
    <t>G.U.Y.</t>
  </si>
  <si>
    <t>Cannonball</t>
  </si>
  <si>
    <t>Lea Michele</t>
  </si>
  <si>
    <t>hollywood</t>
  </si>
  <si>
    <t>Sheezus</t>
  </si>
  <si>
    <t>Lily Allen</t>
  </si>
  <si>
    <t>Team</t>
  </si>
  <si>
    <t>Lorde</t>
  </si>
  <si>
    <t>Rude</t>
  </si>
  <si>
    <t>MAGIC!</t>
  </si>
  <si>
    <t>You're Mine (Eternal)</t>
  </si>
  <si>
    <t>Maps</t>
  </si>
  <si>
    <t>Love Never Felt So Good</t>
  </si>
  <si>
    <t>Michael Jackson</t>
  </si>
  <si>
    <t>Adore You</t>
  </si>
  <si>
    <t>Anaconda</t>
  </si>
  <si>
    <t>Love Runs Out</t>
  </si>
  <si>
    <t>Let Her Go</t>
  </si>
  <si>
    <t>Passenger</t>
  </si>
  <si>
    <t>folk-pop</t>
  </si>
  <si>
    <t>Happy - From "Despicable Me 2"</t>
  </si>
  <si>
    <t>Pharrell Williams</t>
  </si>
  <si>
    <t>Come Get It Bae</t>
  </si>
  <si>
    <t>We Are One (Ole Ola) [The Official 2014 FIFA World Cup Song]</t>
  </si>
  <si>
    <t>Stay With Me</t>
  </si>
  <si>
    <t>Sam Smith</t>
  </si>
  <si>
    <t>Can't Remember to Forget You (feat. Rihanna)</t>
  </si>
  <si>
    <t>La La La (Brasil 2014) (feat. Carlinhos Brown)</t>
  </si>
  <si>
    <t>Chandelier</t>
  </si>
  <si>
    <t>Sia</t>
  </si>
  <si>
    <t>australian dance</t>
  </si>
  <si>
    <t>Shake It Off</t>
  </si>
  <si>
    <t>#SELFIE</t>
  </si>
  <si>
    <t>electropop</t>
  </si>
  <si>
    <t>Stay The Night - Featuring Hayley Williams Of Paramore</t>
  </si>
  <si>
    <t>Here</t>
  </si>
  <si>
    <t>Alessia Cara</t>
  </si>
  <si>
    <t>canadian contemporary r&amp;b</t>
  </si>
  <si>
    <t>Heroes (we could be)</t>
  </si>
  <si>
    <t>Alesso</t>
  </si>
  <si>
    <t>We Are Here</t>
  </si>
  <si>
    <t>Love Me Harder</t>
  </si>
  <si>
    <t>Break Free</t>
  </si>
  <si>
    <t>Focus</t>
  </si>
  <si>
    <t>Broken Arrows</t>
  </si>
  <si>
    <t>How Deep Is Your Love</t>
  </si>
  <si>
    <t>Blame</t>
  </si>
  <si>
    <t>I Really Like You</t>
  </si>
  <si>
    <t>Genie In a Bottle</t>
  </si>
  <si>
    <t>Rather Be (feat. Jess Glynne)</t>
  </si>
  <si>
    <t>Clean Bandit</t>
  </si>
  <si>
    <t>Hey Mama (feat. Nicki Minaj, Bebe Rexha &amp; Afrojack)</t>
  </si>
  <si>
    <t>Bang My Head (feat. Sia &amp; Fetty Wap)</t>
  </si>
  <si>
    <t>Yesterday (feat. Bebe Rexha)</t>
  </si>
  <si>
    <t>Really Don't Care</t>
  </si>
  <si>
    <t>Thinking out Loud</t>
  </si>
  <si>
    <t>Don't</t>
  </si>
  <si>
    <t>Sing</t>
  </si>
  <si>
    <t>Bloodstream</t>
  </si>
  <si>
    <t>Love Me Like You Do - From "Fifty Shades Of Grey"</t>
  </si>
  <si>
    <t>On My Mind</t>
  </si>
  <si>
    <t>Let Me Be Your Lover</t>
  </si>
  <si>
    <t>L.A.LOVE (la la)</t>
  </si>
  <si>
    <t>Worth It</t>
  </si>
  <si>
    <t>Fifth Harmony</t>
  </si>
  <si>
    <t>BO$$</t>
  </si>
  <si>
    <t>My House</t>
  </si>
  <si>
    <t>St Jude</t>
  </si>
  <si>
    <t>Baby Don't Lie</t>
  </si>
  <si>
    <t>Gwen Stefani</t>
  </si>
  <si>
    <t>Spark The Fire</t>
  </si>
  <si>
    <t>Sparks</t>
  </si>
  <si>
    <t>Hilary Duff</t>
  </si>
  <si>
    <t>Take Me To Church</t>
  </si>
  <si>
    <t>Hozier</t>
  </si>
  <si>
    <t>irish singer-songwriter</t>
  </si>
  <si>
    <t>Want to Want Me</t>
  </si>
  <si>
    <t>Trumpets</t>
  </si>
  <si>
    <t>Dangerous</t>
  </si>
  <si>
    <t>Jennifer Hudson</t>
  </si>
  <si>
    <t>Booty</t>
  </si>
  <si>
    <t>Feel The Light - From The "Home" Soundtrack</t>
  </si>
  <si>
    <t>Don't Be so Hard on Yourself</t>
  </si>
  <si>
    <t>Jess Glynne</t>
  </si>
  <si>
    <t>Bang Bang</t>
  </si>
  <si>
    <t>Love Yourself</t>
  </si>
  <si>
    <t>Sorry</t>
  </si>
  <si>
    <t>What Do You Mean?</t>
  </si>
  <si>
    <t>Company</t>
  </si>
  <si>
    <t>I'll Show You</t>
  </si>
  <si>
    <t>The Feeling</t>
  </si>
  <si>
    <t>What Do You Mean? - Acoustic</t>
  </si>
  <si>
    <t>Mark My Words</t>
  </si>
  <si>
    <t>Been You</t>
  </si>
  <si>
    <t>Legendary Lovers</t>
  </si>
  <si>
    <t>Heartbeat Song</t>
  </si>
  <si>
    <t>Run Run Run</t>
  </si>
  <si>
    <t>Prayer in C - Robin Schulz Radio Edit</t>
  </si>
  <si>
    <t>Lilly Wood and The Prick</t>
  </si>
  <si>
    <t>french indie pop</t>
  </si>
  <si>
    <t>Love Me Like You</t>
  </si>
  <si>
    <t>Reality - Radio Edit</t>
  </si>
  <si>
    <t>Lost Frequencies</t>
  </si>
  <si>
    <t>belgian edm</t>
  </si>
  <si>
    <t>Downtown (feat. Melle Mel, Grandmaster Caz, Kool Moe Dee &amp; Eric Nally)</t>
  </si>
  <si>
    <t>Ghosttown</t>
  </si>
  <si>
    <t>Madonna</t>
  </si>
  <si>
    <t>Living For Love</t>
  </si>
  <si>
    <t>Uptown Funk</t>
  </si>
  <si>
    <t>Mark Ronson</t>
  </si>
  <si>
    <t>Sugar</t>
  </si>
  <si>
    <t>Animals</t>
  </si>
  <si>
    <t>Dear Future Husband</t>
  </si>
  <si>
    <t>Meghan Trainor</t>
  </si>
  <si>
    <t>Lips Are Movin</t>
  </si>
  <si>
    <t>All About That Bass</t>
  </si>
  <si>
    <t>Waves - Robin Schulz Radio Edit</t>
  </si>
  <si>
    <t>Mr. Probz</t>
  </si>
  <si>
    <t>tropical house</t>
  </si>
  <si>
    <t>Runnin' (Lose It All)</t>
  </si>
  <si>
    <t>Naughty Boy</t>
  </si>
  <si>
    <t>Jealous - Remix</t>
  </si>
  <si>
    <t>Nick Jonas</t>
  </si>
  <si>
    <t>Up</t>
  </si>
  <si>
    <t>Olly Murs</t>
  </si>
  <si>
    <t>Night Changes</t>
  </si>
  <si>
    <t>Perfect</t>
  </si>
  <si>
    <t>Steal My Girl</t>
  </si>
  <si>
    <t>I Lived</t>
  </si>
  <si>
    <t>Only Love Can Hurt Like This</t>
  </si>
  <si>
    <t>Paloma Faith</t>
  </si>
  <si>
    <t>Fireball (feat. John Ryan)</t>
  </si>
  <si>
    <t>Celebrate (From the Original Motion Picture "Penguins of Madagascar")</t>
  </si>
  <si>
    <t>Time of Our Lives</t>
  </si>
  <si>
    <t>Mr. Put It Down</t>
  </si>
  <si>
    <t>Ricky Martin</t>
  </si>
  <si>
    <t>FourFiveSeconds</t>
  </si>
  <si>
    <t>American Oxygen</t>
  </si>
  <si>
    <t>Sugar (feat. Francesco Yates)</t>
  </si>
  <si>
    <t>Robin Schulz</t>
  </si>
  <si>
    <t>Lay It All on Me</t>
  </si>
  <si>
    <t>Rudimental</t>
  </si>
  <si>
    <t>I'm Not The Only One</t>
  </si>
  <si>
    <t>The Heart Wants What It Wants</t>
  </si>
  <si>
    <t>Same Old Love</t>
  </si>
  <si>
    <t>Stitches</t>
  </si>
  <si>
    <t>Elastic Heart</t>
  </si>
  <si>
    <t>Alive</t>
  </si>
  <si>
    <t>Easy Love</t>
  </si>
  <si>
    <t>Sigala</t>
  </si>
  <si>
    <t>The Hills</t>
  </si>
  <si>
    <t>The Weeknd</t>
  </si>
  <si>
    <t>Earned It (Fifty Shades Of Grey) - From The "Fifty Shades Of Grey" Soundtrack</t>
  </si>
  <si>
    <t>See You Again (feat. Charlie Puth)</t>
  </si>
  <si>
    <t>Wiz Khalifa</t>
  </si>
  <si>
    <t>hip hop</t>
  </si>
  <si>
    <t>Never Forget You</t>
  </si>
  <si>
    <t>Zara Larsson</t>
  </si>
  <si>
    <t>I Want You To Know</t>
  </si>
  <si>
    <t>All I Ask</t>
  </si>
  <si>
    <t>Send My Love (To Your New Lover)</t>
  </si>
  <si>
    <t>When We Were Young</t>
  </si>
  <si>
    <t>Million Years Ago</t>
  </si>
  <si>
    <t>Scars To Your Beautiful</t>
  </si>
  <si>
    <t>Dangerous Woman</t>
  </si>
  <si>
    <t>Into You</t>
  </si>
  <si>
    <t>Electric Love</t>
  </si>
  <si>
    <t>B0NS</t>
  </si>
  <si>
    <t>I Got You</t>
  </si>
  <si>
    <t>Bebe Rexha</t>
  </si>
  <si>
    <t>Keeping Your Head Up</t>
  </si>
  <si>
    <t>Do You Wanna Come Over?</t>
  </si>
  <si>
    <t>Make Me... (feat. G-Eazy)</t>
  </si>
  <si>
    <t>Invitation</t>
  </si>
  <si>
    <t>This Is What You Came For</t>
  </si>
  <si>
    <t>Higher</t>
  </si>
  <si>
    <t>Run Away With Me</t>
  </si>
  <si>
    <t>One Call Away (feat. Tyga) - Remix</t>
  </si>
  <si>
    <t>Charlie Puth</t>
  </si>
  <si>
    <t>Change</t>
  </si>
  <si>
    <t>Body Say</t>
  </si>
  <si>
    <t>Confident</t>
  </si>
  <si>
    <t>Cake By The Ocean</t>
  </si>
  <si>
    <t>DNCE</t>
  </si>
  <si>
    <t>Blown</t>
  </si>
  <si>
    <t>Toothbrush</t>
  </si>
  <si>
    <t>Too Good</t>
  </si>
  <si>
    <t>Hurts</t>
  </si>
  <si>
    <t>Work from Home (feat. Ty Dolla $ign)</t>
  </si>
  <si>
    <t>Wish That You Were Here - From 揗iss Peregrine抯 Home for Peculiar Children?Original Motion Picture</t>
  </si>
  <si>
    <t>Me, Myself &amp; I</t>
  </si>
  <si>
    <t>G-Eazy</t>
  </si>
  <si>
    <t>Make Me Like You</t>
  </si>
  <si>
    <t>Starving</t>
  </si>
  <si>
    <t>Hailee Steinfeld</t>
  </si>
  <si>
    <t>Little Lies</t>
  </si>
  <si>
    <t>BURNITUP!</t>
  </si>
  <si>
    <t>Janet Jackson</t>
  </si>
  <si>
    <t>Ain't Your Mama</t>
  </si>
  <si>
    <t>Picky - Remix</t>
  </si>
  <si>
    <t>Joey Montana</t>
  </si>
  <si>
    <t>latin</t>
  </si>
  <si>
    <t>Start</t>
  </si>
  <si>
    <t>CAN'T STOP THE FEELING! (Original Song from DreamWorks Animation's "TROLLS")</t>
  </si>
  <si>
    <t>Rise</t>
  </si>
  <si>
    <t>Million Reasons</t>
  </si>
  <si>
    <t>Perfect Illusion</t>
  </si>
  <si>
    <t>Shout Out to My Ex</t>
  </si>
  <si>
    <t>7 Years</t>
  </si>
  <si>
    <t>Lukas Graham</t>
  </si>
  <si>
    <t>danish pop</t>
  </si>
  <si>
    <t>Final Song</t>
  </si>
  <si>
    <t>M0</t>
  </si>
  <si>
    <t>Light It Up (feat. Nyla &amp; Fuse ODG) [Remix]</t>
  </si>
  <si>
    <t>Major Lazer</t>
  </si>
  <si>
    <t>Cold Water (feat. Justin Bieber &amp; M?</t>
  </si>
  <si>
    <t>In the Name of Love</t>
  </si>
  <si>
    <t>Martin Garrix</t>
  </si>
  <si>
    <t>Me Too</t>
  </si>
  <si>
    <t>Like I'm Gonna Lose You (feat. John Legend)</t>
  </si>
  <si>
    <t>NO</t>
  </si>
  <si>
    <t>I Took A Pill In Ibiza - Seeb Remix</t>
  </si>
  <si>
    <t>WTF (Where They From)</t>
  </si>
  <si>
    <t>Missy Elliott</t>
  </si>
  <si>
    <t>Pep Rally</t>
  </si>
  <si>
    <t>Behind Your Back</t>
  </si>
  <si>
    <t>Nelly Furtado</t>
  </si>
  <si>
    <t>canadian latin</t>
  </si>
  <si>
    <t>Champagne Problems</t>
  </si>
  <si>
    <t>Close</t>
  </si>
  <si>
    <t>Wherever I Go</t>
  </si>
  <si>
    <t>Just Like Fire (From the Original Motion Picture "Alice Through The Looking Glass")</t>
  </si>
  <si>
    <t>Beautiful Birds (feat. Birdy)</t>
  </si>
  <si>
    <t>Work</t>
  </si>
  <si>
    <t>Needed Me</t>
  </si>
  <si>
    <t>Hands To Myself</t>
  </si>
  <si>
    <t>Kill Em With Kindness</t>
  </si>
  <si>
    <t>I Know What You Did Last Summer</t>
  </si>
  <si>
    <t>Don't Be A Fool</t>
  </si>
  <si>
    <t>Cheap Thrills</t>
  </si>
  <si>
    <t>Cruel (feat. ZAYN)</t>
  </si>
  <si>
    <t>Snakehips</t>
  </si>
  <si>
    <t>Out Of The Woods</t>
  </si>
  <si>
    <t>Roses</t>
  </si>
  <si>
    <t>All We Know</t>
  </si>
  <si>
    <t>Don't Let Me Down</t>
  </si>
  <si>
    <t>Cool Girl</t>
  </si>
  <si>
    <t>Tove Lo</t>
  </si>
  <si>
    <t>Desire</t>
  </si>
  <si>
    <t>Years &amp; Years</t>
  </si>
  <si>
    <t>PILLOWTALK</t>
  </si>
  <si>
    <t>ZAYN</t>
  </si>
  <si>
    <t>LIKE I WOULD</t>
  </si>
  <si>
    <t>True Colors</t>
  </si>
  <si>
    <t>Water Under the Bridge</t>
  </si>
  <si>
    <t>Tired</t>
  </si>
  <si>
    <t>Alan Walker</t>
  </si>
  <si>
    <t>electro house</t>
  </si>
  <si>
    <t>How Far I'll Go - From "Moana"</t>
  </si>
  <si>
    <t>Side To Side</t>
  </si>
  <si>
    <t>That's What I Like</t>
  </si>
  <si>
    <t>24K Magic</t>
  </si>
  <si>
    <t>My Way</t>
  </si>
  <si>
    <t>Slide (feat. Frank Ocean &amp; Migos)</t>
  </si>
  <si>
    <t>Crying in the Club</t>
  </si>
  <si>
    <t>Camila Cabello</t>
  </si>
  <si>
    <t>Bodak Yellow</t>
  </si>
  <si>
    <t>Cardi B</t>
  </si>
  <si>
    <t>Cut To The Feeling</t>
  </si>
  <si>
    <t>Love Incredible (feat. Camila Cabello)</t>
  </si>
  <si>
    <t>Cashmere Cat</t>
  </si>
  <si>
    <t>downtempo</t>
  </si>
  <si>
    <t>We Don't Talk Anymore - DROELOE Remix</t>
  </si>
  <si>
    <t>Rockabye (feat. Sean Paul &amp; Anne-Marie)</t>
  </si>
  <si>
    <t>Reggaet髇 Lento (Remix)</t>
  </si>
  <si>
    <t>CNCO</t>
  </si>
  <si>
    <t>A L I E N S</t>
  </si>
  <si>
    <t>I'm the One (feat. Justin Bieber, Quavo, Chance the Rapper &amp; Lil Wayne)</t>
  </si>
  <si>
    <t>Let Me Love You</t>
  </si>
  <si>
    <t>DJ Snake</t>
  </si>
  <si>
    <t>electronic trap</t>
  </si>
  <si>
    <t>Kissing Strangers</t>
  </si>
  <si>
    <t>Body Moves</t>
  </si>
  <si>
    <t>Kissing Strangers - Remix</t>
  </si>
  <si>
    <t>Angel</t>
  </si>
  <si>
    <t>Rich Boy</t>
  </si>
  <si>
    <t>Galantis</t>
  </si>
  <si>
    <t>Chained To The Rhythm</t>
  </si>
  <si>
    <t>Bon app閠it</t>
  </si>
  <si>
    <t>Praying</t>
  </si>
  <si>
    <t>It Ain't Me (with Selena Gomez)</t>
  </si>
  <si>
    <t>Kygo</t>
  </si>
  <si>
    <t>edm</t>
  </si>
  <si>
    <t>First Time</t>
  </si>
  <si>
    <t>The Cure</t>
  </si>
  <si>
    <t>Love</t>
  </si>
  <si>
    <t>Lust for Life (with The Weeknd)</t>
  </si>
  <si>
    <t>Strip That Down (feat. Quavo)</t>
  </si>
  <si>
    <t>Liam Payne</t>
  </si>
  <si>
    <t>Touch (feat. Kid Ink)</t>
  </si>
  <si>
    <t>Reality (feat. Janieck Devy) - Radio Edit</t>
  </si>
  <si>
    <t>Cold (feat. Future)</t>
  </si>
  <si>
    <t>There for You</t>
  </si>
  <si>
    <t>Malibu</t>
  </si>
  <si>
    <t>Younger Now</t>
  </si>
  <si>
    <t>Slow Hands</t>
  </si>
  <si>
    <t>Niall Horan</t>
  </si>
  <si>
    <t>Remember I Told You</t>
  </si>
  <si>
    <t>Rich Love (with Seeb)</t>
  </si>
  <si>
    <t>No Vacancy (with Sebasti醤 Yatra)</t>
  </si>
  <si>
    <t>Greenlight (feat. Flo Rida &amp; LunchMoney Lewis)</t>
  </si>
  <si>
    <t>Messin' Around</t>
  </si>
  <si>
    <t>OK - Spotify Version</t>
  </si>
  <si>
    <t>Treat You Better</t>
  </si>
  <si>
    <t>The Greatest</t>
  </si>
  <si>
    <t>Free Me</t>
  </si>
  <si>
    <t>Came Here for Love</t>
  </si>
  <si>
    <t>Something Just Like This</t>
  </si>
  <si>
    <t>Paris</t>
  </si>
  <si>
    <t>Starboy</t>
  </si>
  <si>
    <t>I Feel It Coming</t>
  </si>
  <si>
    <t>Influence</t>
  </si>
  <si>
    <t>I Don抰 Wanna Live Forever (Fifty Shades Darker)</t>
  </si>
  <si>
    <t>Stay</t>
  </si>
  <si>
    <t>Get Low (with Liam Payne)</t>
  </si>
  <si>
    <t>Supernova</t>
  </si>
  <si>
    <t>Ansel Elgort</t>
  </si>
  <si>
    <t>Ferrari</t>
  </si>
  <si>
    <t>Havana (feat. Young Thug)</t>
  </si>
  <si>
    <t>Never Be the Same - Radio Edit</t>
  </si>
  <si>
    <t>Drip (feat. Migos)</t>
  </si>
  <si>
    <t>Miss You (with Major Lazer &amp; Tory Lanez)</t>
  </si>
  <si>
    <t>Attention</t>
  </si>
  <si>
    <t>Tequila</t>
  </si>
  <si>
    <t>Dan + Shay</t>
  </si>
  <si>
    <t>contemporary country</t>
  </si>
  <si>
    <t>2U (feat. Justin Bieber)</t>
  </si>
  <si>
    <t>Sorry Not Sorry</t>
  </si>
  <si>
    <t>Tell Me You Love Me - NOTD Remix</t>
  </si>
  <si>
    <t>IDGAF</t>
  </si>
  <si>
    <t>Dua Lipa</t>
  </si>
  <si>
    <t>New Rules</t>
  </si>
  <si>
    <t>Want To</t>
  </si>
  <si>
    <t>Perfect Duet (Ed Sheeran &amp; Beyonc?</t>
  </si>
  <si>
    <t>Walk On Water (feat. Beyonc?</t>
  </si>
  <si>
    <t>MOVE TO MIAMI</t>
  </si>
  <si>
    <t>Him &amp; I (with Halsey)</t>
  </si>
  <si>
    <t>Let Me Go (with Alesso, Florida Georgia Line &amp; watt)</t>
  </si>
  <si>
    <t>Capital Letters</t>
  </si>
  <si>
    <t>What I Need (feat. Kehlani)</t>
  </si>
  <si>
    <t>Hayley Kiyoko</t>
  </si>
  <si>
    <t>Mi Gente (feat. Beyonc?</t>
  </si>
  <si>
    <t>J Balvin</t>
  </si>
  <si>
    <t>Friends (with BloodPop?</t>
  </si>
  <si>
    <t>Filthy</t>
  </si>
  <si>
    <t>Supplies</t>
  </si>
  <si>
    <t>Shallow - Radio Edit</t>
  </si>
  <si>
    <t>Familiar</t>
  </si>
  <si>
    <t>For You (With Rita Ora)</t>
  </si>
  <si>
    <t>Wait</t>
  </si>
  <si>
    <t>Silence</t>
  </si>
  <si>
    <t>brostep</t>
  </si>
  <si>
    <t>Lemon</t>
  </si>
  <si>
    <t>N.E.R.D</t>
  </si>
  <si>
    <t>This Town</t>
  </si>
  <si>
    <t>Chun-Li</t>
  </si>
  <si>
    <t>What About Us</t>
  </si>
  <si>
    <t>Boom Boom</t>
  </si>
  <si>
    <t>RedOne</t>
  </si>
  <si>
    <t>moroccan pop</t>
  </si>
  <si>
    <t>Love On The Brain</t>
  </si>
  <si>
    <t>Anywhere</t>
  </si>
  <si>
    <t>These Days</t>
  </si>
  <si>
    <t>Wolves</t>
  </si>
  <si>
    <t>Bad Liar</t>
  </si>
  <si>
    <t>In My Blood</t>
  </si>
  <si>
    <t>Youth (feat. Khalid)</t>
  </si>
  <si>
    <t>Nervous</t>
  </si>
  <si>
    <t>Electricity (with Dua Lipa)</t>
  </si>
  <si>
    <t>Silk City</t>
  </si>
  <si>
    <t>Look What You Made Me Do</t>
  </si>
  <si>
    <t>End Game</t>
  </si>
  <si>
    <t>...Ready For It? - BloodPop?Remix</t>
  </si>
  <si>
    <t>Sick Boy</t>
  </si>
  <si>
    <t>My My My!</t>
  </si>
  <si>
    <t>Troye Sivan</t>
  </si>
  <si>
    <t>Dusk Till Dawn - Radio Edit</t>
  </si>
  <si>
    <t>Let Me</t>
  </si>
  <si>
    <t>Giant (with Rag'n'Bone Man)</t>
  </si>
  <si>
    <t>No Guidance (feat. Drake)</t>
  </si>
  <si>
    <t>Con Calma - Remix</t>
  </si>
  <si>
    <t>Daddy Yankee</t>
  </si>
  <si>
    <t>No Brainer (feat. Justin Bieber, Chance the Rapper &amp; Quavo)</t>
  </si>
  <si>
    <t>Taki Taki (feat. Selena Gomez, Ozuna &amp; Cardi B)</t>
  </si>
  <si>
    <t>Beautiful People (feat. Khalid)</t>
  </si>
  <si>
    <t>Antisocial (with Travis Scott)</t>
  </si>
  <si>
    <t>Cross Me (feat. Chance the Rapper &amp; PnB Rock)</t>
  </si>
  <si>
    <t>Only Human</t>
  </si>
  <si>
    <t>Sucker</t>
  </si>
  <si>
    <t>Talk (feat. Disclosure)</t>
  </si>
  <si>
    <t>Khalid</t>
  </si>
  <si>
    <t>alternative r&amp;b</t>
  </si>
  <si>
    <t>Higher Love</t>
  </si>
  <si>
    <t>Someone You Loved</t>
  </si>
  <si>
    <t>Lewis Capaldi</t>
  </si>
  <si>
    <t>Good as Hell (feat. Ariana Grande) - Remix</t>
  </si>
  <si>
    <t>Lizzo</t>
  </si>
  <si>
    <t>escape room</t>
  </si>
  <si>
    <t>Truth Hurts</t>
  </si>
  <si>
    <t>Don't Call Me Up</t>
  </si>
  <si>
    <t>Mabel</t>
  </si>
  <si>
    <t>Find U Again (feat. Camila Cabello)</t>
  </si>
  <si>
    <t>Nothing Breaks Like a Heart (feat. Miley Cyrus)</t>
  </si>
  <si>
    <t>Memories</t>
  </si>
  <si>
    <t>Girls Like You (feat. Cardi B)</t>
  </si>
  <si>
    <t>All Around The World (La La La)</t>
  </si>
  <si>
    <t>R3HAB</t>
  </si>
  <si>
    <t>How Do You Sleep?</t>
  </si>
  <si>
    <t>Lose You To Love Me</t>
  </si>
  <si>
    <t>Trampoline (with ZAYN)</t>
  </si>
  <si>
    <t>SHAED</t>
  </si>
  <si>
    <t>Se駉rita</t>
  </si>
  <si>
    <t>Takeaway</t>
  </si>
  <si>
    <t>Call You Mine</t>
  </si>
  <si>
    <t>Kills You Slowly</t>
  </si>
  <si>
    <t>Grand Total</t>
  </si>
  <si>
    <t>Average of popularity</t>
  </si>
  <si>
    <t>Year</t>
  </si>
  <si>
    <t>Average of tempo_bpm</t>
  </si>
  <si>
    <t>Count of title</t>
  </si>
  <si>
    <t>Artists</t>
  </si>
  <si>
    <t>Genre</t>
  </si>
  <si>
    <t>Average of energy</t>
  </si>
  <si>
    <t>binning_tempo_bpm</t>
  </si>
  <si>
    <t>Fast</t>
  </si>
  <si>
    <t>Slow</t>
  </si>
  <si>
    <t>Count of tempo_bpm</t>
  </si>
  <si>
    <t>Binning</t>
  </si>
  <si>
    <t>Average of duration_s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</si>
</sst>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D9E1F2"/>
        <bgColor rgb="FF000000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13">
    <xf numFmtId="0" fontId="0" fillId="0" borderId="0" xfId="0"/>
    <xf numFmtId="0" fontId="1" fillId="2" borderId="0" xfId="1"/>
    <xf numFmtId="49" fontId="0" fillId="0" borderId="0" xfId="0" applyNumberFormat="1"/>
    <xf numFmtId="45" fontId="0" fillId="0" borderId="0" xfId="0" applyNumberFormat="1"/>
    <xf numFmtId="45" fontId="1" fillId="2" borderId="0" xfId="1" applyNumberFormat="1"/>
    <xf numFmtId="0" fontId="2" fillId="4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1" fillId="3" borderId="0" xfId="2" applyAlignment="1">
      <alignment horizontal="center"/>
    </xf>
    <xf numFmtId="0" fontId="0" fillId="0" borderId="0" xfId="0" quotePrefix="1"/>
    <xf numFmtId="0" fontId="0" fillId="0" borderId="0" xfId="0" applyNumberFormat="1"/>
    <xf numFmtId="164" fontId="0" fillId="0" borderId="0" xfId="0" applyNumberFormat="1"/>
  </cellXfs>
  <cellStyles count="3">
    <cellStyle name="Accent1" xfId="1" builtinId="29"/>
    <cellStyle name="Accent2" xfId="2" builtinId="33"/>
    <cellStyle name="Normal" xfId="0" builtinId="0"/>
  </cellStyles>
  <dxfs count="2">
    <dxf>
      <fill>
        <patternFill>
          <bgColor theme="4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[spotify_topsongs_STUDENT.xltx]Spotify!PivotTable4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</a:t>
            </a:r>
            <a:r>
              <a:rPr lang="en-US" baseline="0"/>
              <a:t> vs. average popularity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Spotify!$M$2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Spotify!$L$3:$L$13</c:f>
              <c:strCache>
                <c:ptCount val="10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</c:strCache>
            </c:strRef>
          </c:cat>
          <c:val>
            <c:numRef>
              <c:f>Spotify!$M$3:$M$13</c:f>
              <c:numCache>
                <c:formatCode>0.00</c:formatCode>
                <c:ptCount val="10"/>
                <c:pt idx="0">
                  <c:v>64.254901960784309</c:v>
                </c:pt>
                <c:pt idx="1">
                  <c:v>61.867924528301884</c:v>
                </c:pt>
                <c:pt idx="2">
                  <c:v>67.771428571428572</c:v>
                </c:pt>
                <c:pt idx="3">
                  <c:v>63.985915492957744</c:v>
                </c:pt>
                <c:pt idx="4">
                  <c:v>62.706896551724135</c:v>
                </c:pt>
                <c:pt idx="5">
                  <c:v>64.568421052631578</c:v>
                </c:pt>
                <c:pt idx="6">
                  <c:v>64.162499999999994</c:v>
                </c:pt>
                <c:pt idx="7">
                  <c:v>69.015384615384619</c:v>
                </c:pt>
                <c:pt idx="8">
                  <c:v>72.4375</c:v>
                </c:pt>
                <c:pt idx="9">
                  <c:v>84.354838709677423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1-C549-BDAE-7CFD4794E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5682992"/>
        <c:axId val="2135684704"/>
      </c:lineChart>
      <c:catAx>
        <c:axId val="2135682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5684704"/>
        <c:crosses val="autoZero"/>
        <c:auto val="1"/>
        <c:lblAlgn val="ctr"/>
        <c:lblOffset val="100"/>
        <c:noMultiLvlLbl val="0"/>
      </c:catAx>
      <c:valAx>
        <c:axId val="213568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Popularity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568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[spotify_topsongs_STUDENT.xltx]Spotify!PivotTable6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year</a:t>
            </a:r>
            <a:r>
              <a:rPr lang="en-US" baseline="0"/>
              <a:t> vs tempo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Spotify!$V$2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Spotify!$U$3:$U$13</c:f>
              <c:strCache>
                <c:ptCount val="10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</c:strCache>
            </c:strRef>
          </c:cat>
          <c:val>
            <c:numRef>
              <c:f>Spotify!$V$3:$V$13</c:f>
              <c:numCache>
                <c:formatCode>0.00</c:formatCode>
                <c:ptCount val="10"/>
                <c:pt idx="0">
                  <c:v>122.05882352941177</c:v>
                </c:pt>
                <c:pt idx="1">
                  <c:v>119.0754716981132</c:v>
                </c:pt>
                <c:pt idx="2">
                  <c:v>121.08571428571429</c:v>
                </c:pt>
                <c:pt idx="3">
                  <c:v>121.67605633802818</c:v>
                </c:pt>
                <c:pt idx="4">
                  <c:v>123</c:v>
                </c:pt>
                <c:pt idx="5">
                  <c:v>119.76842105263158</c:v>
                </c:pt>
                <c:pt idx="6">
                  <c:v>114.325</c:v>
                </c:pt>
                <c:pt idx="7">
                  <c:v>116.8</c:v>
                </c:pt>
                <c:pt idx="8">
                  <c:v>114.59375</c:v>
                </c:pt>
                <c:pt idx="9">
                  <c:v>112.45161290322581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7F-1148-90B9-6CA057C8B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0474016"/>
        <c:axId val="2140475728"/>
      </c:lineChart>
      <c:catAx>
        <c:axId val="2140474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475728"/>
        <c:crosses val="autoZero"/>
        <c:auto val="1"/>
        <c:lblAlgn val="ctr"/>
        <c:lblOffset val="100"/>
        <c:noMultiLvlLbl val="0"/>
      </c:catAx>
      <c:valAx>
        <c:axId val="214047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tempo_pbm</a:t>
                </a:r>
              </a:p>
            </c:rich>
          </c:tx>
          <c:layout>
            <c:manualLayout>
              <c:xMode val="edge"/>
              <c:yMode val="edge"/>
              <c:x val="1.4106584464896153E-2"/>
              <c:y val="0.353094650582656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47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[spotify_topsongs_STUDENT.xltx]Spotify!PivotTable8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Genres by Average Popularity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Spotify!$P$17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Spotify!$O$18:$O$68</c:f>
              <c:strCache>
                <c:ptCount val="50"/>
                <c:pt idx="0">
                  <c:v>escape room</c:v>
                </c:pt>
                <c:pt idx="1">
                  <c:v>brostep</c:v>
                </c:pt>
                <c:pt idx="2">
                  <c:v>alternative r&amp;b</c:v>
                </c:pt>
                <c:pt idx="3">
                  <c:v>irish singer-songwriter</c:v>
                </c:pt>
                <c:pt idx="4">
                  <c:v>danish pop</c:v>
                </c:pt>
                <c:pt idx="5">
                  <c:v>celtic rock</c:v>
                </c:pt>
                <c:pt idx="6">
                  <c:v>electronic trap</c:v>
                </c:pt>
                <c:pt idx="7">
                  <c:v>edm</c:v>
                </c:pt>
                <c:pt idx="8">
                  <c:v>canadian contemporary r&amp;b</c:v>
                </c:pt>
                <c:pt idx="9">
                  <c:v>electropop</c:v>
                </c:pt>
                <c:pt idx="10">
                  <c:v>contemporary country</c:v>
                </c:pt>
                <c:pt idx="11">
                  <c:v>pop</c:v>
                </c:pt>
                <c:pt idx="12">
                  <c:v>electro</c:v>
                </c:pt>
                <c:pt idx="13">
                  <c:v>canadian hip hop</c:v>
                </c:pt>
                <c:pt idx="14">
                  <c:v>detroit hip hop</c:v>
                </c:pt>
                <c:pt idx="15">
                  <c:v>metropopolis</c:v>
                </c:pt>
                <c:pt idx="16">
                  <c:v>chicago rap</c:v>
                </c:pt>
                <c:pt idx="17">
                  <c:v>canadian pop</c:v>
                </c:pt>
                <c:pt idx="18">
                  <c:v>house</c:v>
                </c:pt>
                <c:pt idx="19">
                  <c:v>tropical house</c:v>
                </c:pt>
                <c:pt idx="20">
                  <c:v>hip hop</c:v>
                </c:pt>
                <c:pt idx="21">
                  <c:v>australian hip hop</c:v>
                </c:pt>
                <c:pt idx="22">
                  <c:v>electro house</c:v>
                </c:pt>
                <c:pt idx="23">
                  <c:v>boy band</c:v>
                </c:pt>
                <c:pt idx="24">
                  <c:v>indie pop</c:v>
                </c:pt>
                <c:pt idx="25">
                  <c:v>baroque pop</c:v>
                </c:pt>
                <c:pt idx="26">
                  <c:v>complextro</c:v>
                </c:pt>
                <c:pt idx="27">
                  <c:v>big room</c:v>
                </c:pt>
                <c:pt idx="28">
                  <c:v>barbadian pop</c:v>
                </c:pt>
                <c:pt idx="29">
                  <c:v>australian pop</c:v>
                </c:pt>
                <c:pt idx="30">
                  <c:v>dance pop</c:v>
                </c:pt>
                <c:pt idx="31">
                  <c:v>art pop</c:v>
                </c:pt>
                <c:pt idx="32">
                  <c:v>australian dance</c:v>
                </c:pt>
                <c:pt idx="33">
                  <c:v>latin</c:v>
                </c:pt>
                <c:pt idx="34">
                  <c:v>british soul</c:v>
                </c:pt>
                <c:pt idx="35">
                  <c:v>downtempo</c:v>
                </c:pt>
                <c:pt idx="36">
                  <c:v>neo mellow</c:v>
                </c:pt>
                <c:pt idx="37">
                  <c:v>belgian edm</c:v>
                </c:pt>
                <c:pt idx="38">
                  <c:v>permanent wave</c:v>
                </c:pt>
                <c:pt idx="39">
                  <c:v>acoustic pop</c:v>
                </c:pt>
                <c:pt idx="40">
                  <c:v>candy pop</c:v>
                </c:pt>
                <c:pt idx="41">
                  <c:v>french indie pop</c:v>
                </c:pt>
                <c:pt idx="42">
                  <c:v>folk-pop</c:v>
                </c:pt>
                <c:pt idx="43">
                  <c:v>colombian pop</c:v>
                </c:pt>
                <c:pt idx="44">
                  <c:v>hip pop</c:v>
                </c:pt>
                <c:pt idx="45">
                  <c:v>moroccan pop</c:v>
                </c:pt>
                <c:pt idx="46">
                  <c:v>atl hip hop</c:v>
                </c:pt>
                <c:pt idx="47">
                  <c:v>hollywood</c:v>
                </c:pt>
                <c:pt idx="48">
                  <c:v>alaska indie</c:v>
                </c:pt>
                <c:pt idx="49">
                  <c:v>canadian latin</c:v>
                </c:pt>
              </c:strCache>
            </c:strRef>
          </c:cat>
          <c:val>
            <c:numRef>
              <c:f>Spotify!$P$18:$P$68</c:f>
              <c:numCache>
                <c:formatCode>0.00</c:formatCode>
                <c:ptCount val="50"/>
                <c:pt idx="0">
                  <c:v>90</c:v>
                </c:pt>
                <c:pt idx="1">
                  <c:v>86</c:v>
                </c:pt>
                <c:pt idx="2">
                  <c:v>84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79.5</c:v>
                </c:pt>
                <c:pt idx="7">
                  <c:v>78.2</c:v>
                </c:pt>
                <c:pt idx="8">
                  <c:v>77.666666666666671</c:v>
                </c:pt>
                <c:pt idx="9">
                  <c:v>77.461538461538467</c:v>
                </c:pt>
                <c:pt idx="10">
                  <c:v>76</c:v>
                </c:pt>
                <c:pt idx="11">
                  <c:v>74.833333333333329</c:v>
                </c:pt>
                <c:pt idx="12">
                  <c:v>74.5</c:v>
                </c:pt>
                <c:pt idx="13">
                  <c:v>73.5</c:v>
                </c:pt>
                <c:pt idx="14">
                  <c:v>73.5</c:v>
                </c:pt>
                <c:pt idx="15">
                  <c:v>73</c:v>
                </c:pt>
                <c:pt idx="16">
                  <c:v>73</c:v>
                </c:pt>
                <c:pt idx="17">
                  <c:v>72.235294117647058</c:v>
                </c:pt>
                <c:pt idx="18">
                  <c:v>72</c:v>
                </c:pt>
                <c:pt idx="19">
                  <c:v>71.666666666666671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69.666666666666671</c:v>
                </c:pt>
                <c:pt idx="24">
                  <c:v>69.5</c:v>
                </c:pt>
                <c:pt idx="25">
                  <c:v>67.5</c:v>
                </c:pt>
                <c:pt idx="26">
                  <c:v>67.333333333333329</c:v>
                </c:pt>
                <c:pt idx="27">
                  <c:v>65.599999999999994</c:v>
                </c:pt>
                <c:pt idx="28">
                  <c:v>65.400000000000006</c:v>
                </c:pt>
                <c:pt idx="29">
                  <c:v>65.400000000000006</c:v>
                </c:pt>
                <c:pt idx="30">
                  <c:v>64.36391437308869</c:v>
                </c:pt>
                <c:pt idx="31">
                  <c:v>62.75</c:v>
                </c:pt>
                <c:pt idx="32">
                  <c:v>62.333333333333336</c:v>
                </c:pt>
                <c:pt idx="33">
                  <c:v>62.25</c:v>
                </c:pt>
                <c:pt idx="34">
                  <c:v>62.18181818181818</c:v>
                </c:pt>
                <c:pt idx="35">
                  <c:v>61.5</c:v>
                </c:pt>
                <c:pt idx="36">
                  <c:v>60</c:v>
                </c:pt>
                <c:pt idx="37">
                  <c:v>60</c:v>
                </c:pt>
                <c:pt idx="38">
                  <c:v>58.75</c:v>
                </c:pt>
                <c:pt idx="39">
                  <c:v>58.5</c:v>
                </c:pt>
                <c:pt idx="40">
                  <c:v>58.5</c:v>
                </c:pt>
                <c:pt idx="41">
                  <c:v>58</c:v>
                </c:pt>
                <c:pt idx="42">
                  <c:v>56.5</c:v>
                </c:pt>
                <c:pt idx="43">
                  <c:v>56</c:v>
                </c:pt>
                <c:pt idx="44">
                  <c:v>55.5</c:v>
                </c:pt>
                <c:pt idx="45">
                  <c:v>53</c:v>
                </c:pt>
                <c:pt idx="46">
                  <c:v>50</c:v>
                </c:pt>
                <c:pt idx="47">
                  <c:v>37</c:v>
                </c:pt>
                <c:pt idx="48">
                  <c:v>36</c:v>
                </c:pt>
                <c:pt idx="49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9E-D944-ABFF-537A03478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015696"/>
        <c:axId val="756539808"/>
      </c:barChart>
      <c:catAx>
        <c:axId val="78901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539808"/>
        <c:crosses val="autoZero"/>
        <c:auto val="1"/>
        <c:lblAlgn val="ctr"/>
        <c:lblOffset val="100"/>
        <c:noMultiLvlLbl val="0"/>
      </c:catAx>
      <c:valAx>
        <c:axId val="75653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Popularity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01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[spotify_topsongs_STUDENT.xltx]Spotify!PivotTable9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Genres based on Energy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Spotify!$AG$3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Spotify!$AF$4:$AF$54</c:f>
              <c:strCache>
                <c:ptCount val="50"/>
                <c:pt idx="0">
                  <c:v>french indie pop</c:v>
                </c:pt>
                <c:pt idx="1">
                  <c:v>electro house</c:v>
                </c:pt>
                <c:pt idx="2">
                  <c:v>indie pop</c:v>
                </c:pt>
                <c:pt idx="3">
                  <c:v>celtic rock</c:v>
                </c:pt>
                <c:pt idx="4">
                  <c:v>candy pop</c:v>
                </c:pt>
                <c:pt idx="5">
                  <c:v>colombian pop</c:v>
                </c:pt>
                <c:pt idx="6">
                  <c:v>atl hip hop</c:v>
                </c:pt>
                <c:pt idx="7">
                  <c:v>hollywood</c:v>
                </c:pt>
                <c:pt idx="8">
                  <c:v>latin</c:v>
                </c:pt>
                <c:pt idx="9">
                  <c:v>boy band</c:v>
                </c:pt>
                <c:pt idx="10">
                  <c:v>complextro</c:v>
                </c:pt>
                <c:pt idx="11">
                  <c:v>brostep</c:v>
                </c:pt>
                <c:pt idx="12">
                  <c:v>big room</c:v>
                </c:pt>
                <c:pt idx="13">
                  <c:v>moroccan pop</c:v>
                </c:pt>
                <c:pt idx="14">
                  <c:v>electronic trap</c:v>
                </c:pt>
                <c:pt idx="15">
                  <c:v>escape room</c:v>
                </c:pt>
                <c:pt idx="16">
                  <c:v>australian pop</c:v>
                </c:pt>
                <c:pt idx="17">
                  <c:v>tropical house</c:v>
                </c:pt>
                <c:pt idx="18">
                  <c:v>electro</c:v>
                </c:pt>
                <c:pt idx="19">
                  <c:v>house</c:v>
                </c:pt>
                <c:pt idx="20">
                  <c:v>dance pop</c:v>
                </c:pt>
                <c:pt idx="21">
                  <c:v>australian dance</c:v>
                </c:pt>
                <c:pt idx="22">
                  <c:v>australian hip hop</c:v>
                </c:pt>
                <c:pt idx="23">
                  <c:v>metropopolis</c:v>
                </c:pt>
                <c:pt idx="24">
                  <c:v>chicago rap</c:v>
                </c:pt>
                <c:pt idx="25">
                  <c:v>baroque pop</c:v>
                </c:pt>
                <c:pt idx="26">
                  <c:v>detroit hip hop</c:v>
                </c:pt>
                <c:pt idx="27">
                  <c:v>barbadian pop</c:v>
                </c:pt>
                <c:pt idx="28">
                  <c:v>pop</c:v>
                </c:pt>
                <c:pt idx="29">
                  <c:v>canadian pop</c:v>
                </c:pt>
                <c:pt idx="30">
                  <c:v>belgian edm</c:v>
                </c:pt>
                <c:pt idx="31">
                  <c:v>irish singer-songwriter</c:v>
                </c:pt>
                <c:pt idx="32">
                  <c:v>hip hop</c:v>
                </c:pt>
                <c:pt idx="33">
                  <c:v>electropop</c:v>
                </c:pt>
                <c:pt idx="34">
                  <c:v>permanent wave</c:v>
                </c:pt>
                <c:pt idx="35">
                  <c:v>canadian contemporary r&amp;b</c:v>
                </c:pt>
                <c:pt idx="36">
                  <c:v>edm</c:v>
                </c:pt>
                <c:pt idx="37">
                  <c:v>acoustic pop</c:v>
                </c:pt>
                <c:pt idx="38">
                  <c:v>hip pop</c:v>
                </c:pt>
                <c:pt idx="39">
                  <c:v>art pop</c:v>
                </c:pt>
                <c:pt idx="40">
                  <c:v>contemporary country</c:v>
                </c:pt>
                <c:pt idx="41">
                  <c:v>downtempo</c:v>
                </c:pt>
                <c:pt idx="42">
                  <c:v>canadian hip hop</c:v>
                </c:pt>
                <c:pt idx="43">
                  <c:v>british soul</c:v>
                </c:pt>
                <c:pt idx="44">
                  <c:v>danish pop</c:v>
                </c:pt>
                <c:pt idx="45">
                  <c:v>canadian latin</c:v>
                </c:pt>
                <c:pt idx="46">
                  <c:v>neo mellow</c:v>
                </c:pt>
                <c:pt idx="47">
                  <c:v>alternative r&amp;b</c:v>
                </c:pt>
                <c:pt idx="48">
                  <c:v>folk-pop</c:v>
                </c:pt>
                <c:pt idx="49">
                  <c:v>alaska indie</c:v>
                </c:pt>
              </c:strCache>
            </c:strRef>
          </c:cat>
          <c:val>
            <c:numRef>
              <c:f>Spotify!$AG$4:$AG$54</c:f>
              <c:numCache>
                <c:formatCode>0.00</c:formatCode>
                <c:ptCount val="50"/>
                <c:pt idx="0">
                  <c:v>0.89</c:v>
                </c:pt>
                <c:pt idx="1">
                  <c:v>0.88</c:v>
                </c:pt>
                <c:pt idx="2">
                  <c:v>0.875</c:v>
                </c:pt>
                <c:pt idx="3">
                  <c:v>0.87</c:v>
                </c:pt>
                <c:pt idx="4">
                  <c:v>0.8600000000000001</c:v>
                </c:pt>
                <c:pt idx="5">
                  <c:v>0.83333333333333337</c:v>
                </c:pt>
                <c:pt idx="6">
                  <c:v>0.82199999999999984</c:v>
                </c:pt>
                <c:pt idx="7">
                  <c:v>0.82</c:v>
                </c:pt>
                <c:pt idx="8">
                  <c:v>0.80499999999999994</c:v>
                </c:pt>
                <c:pt idx="9">
                  <c:v>0.80266666666666675</c:v>
                </c:pt>
                <c:pt idx="10">
                  <c:v>0.78500000000000003</c:v>
                </c:pt>
                <c:pt idx="11">
                  <c:v>0.77500000000000002</c:v>
                </c:pt>
                <c:pt idx="12">
                  <c:v>0.77200000000000002</c:v>
                </c:pt>
                <c:pt idx="13">
                  <c:v>0.76</c:v>
                </c:pt>
                <c:pt idx="14">
                  <c:v>0.76</c:v>
                </c:pt>
                <c:pt idx="15">
                  <c:v>0.755</c:v>
                </c:pt>
                <c:pt idx="16">
                  <c:v>0.74399999999999999</c:v>
                </c:pt>
                <c:pt idx="17">
                  <c:v>0.73666666666666669</c:v>
                </c:pt>
                <c:pt idx="18">
                  <c:v>0.7350000000000001</c:v>
                </c:pt>
                <c:pt idx="19">
                  <c:v>0.73</c:v>
                </c:pt>
                <c:pt idx="20">
                  <c:v>0.72825688073394501</c:v>
                </c:pt>
                <c:pt idx="21">
                  <c:v>0.72000000000000008</c:v>
                </c:pt>
                <c:pt idx="22">
                  <c:v>0.72</c:v>
                </c:pt>
                <c:pt idx="23">
                  <c:v>0.72</c:v>
                </c:pt>
                <c:pt idx="24">
                  <c:v>0.69</c:v>
                </c:pt>
                <c:pt idx="25">
                  <c:v>0.69</c:v>
                </c:pt>
                <c:pt idx="26">
                  <c:v>0.68500000000000005</c:v>
                </c:pt>
                <c:pt idx="27">
                  <c:v>0.68466666666666665</c:v>
                </c:pt>
                <c:pt idx="28">
                  <c:v>0.68299999999999983</c:v>
                </c:pt>
                <c:pt idx="29">
                  <c:v>0.68117647058823538</c:v>
                </c:pt>
                <c:pt idx="30">
                  <c:v>0.66999999999999993</c:v>
                </c:pt>
                <c:pt idx="31">
                  <c:v>0.66</c:v>
                </c:pt>
                <c:pt idx="32">
                  <c:v>0.65249999999999997</c:v>
                </c:pt>
                <c:pt idx="33">
                  <c:v>0.65230769230769226</c:v>
                </c:pt>
                <c:pt idx="34">
                  <c:v>0.65</c:v>
                </c:pt>
                <c:pt idx="35">
                  <c:v>0.64777777777777779</c:v>
                </c:pt>
                <c:pt idx="36">
                  <c:v>0.61199999999999999</c:v>
                </c:pt>
                <c:pt idx="37">
                  <c:v>0.61</c:v>
                </c:pt>
                <c:pt idx="38">
                  <c:v>0.60333333333333339</c:v>
                </c:pt>
                <c:pt idx="39">
                  <c:v>0.60125000000000006</c:v>
                </c:pt>
                <c:pt idx="40">
                  <c:v>0.59</c:v>
                </c:pt>
                <c:pt idx="41">
                  <c:v>0.57000000000000006</c:v>
                </c:pt>
                <c:pt idx="42">
                  <c:v>0.53</c:v>
                </c:pt>
                <c:pt idx="43">
                  <c:v>0.51090909090909098</c:v>
                </c:pt>
                <c:pt idx="44">
                  <c:v>0.47</c:v>
                </c:pt>
                <c:pt idx="45">
                  <c:v>0.47</c:v>
                </c:pt>
                <c:pt idx="46">
                  <c:v>0.40666666666666668</c:v>
                </c:pt>
                <c:pt idx="47">
                  <c:v>0.4</c:v>
                </c:pt>
                <c:pt idx="48">
                  <c:v>0.35500000000000004</c:v>
                </c:pt>
                <c:pt idx="49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4F-B445-BCBC-1A30901D0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6771456"/>
        <c:axId val="1013098976"/>
      </c:barChart>
      <c:catAx>
        <c:axId val="75677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98976"/>
        <c:crosses val="autoZero"/>
        <c:auto val="1"/>
        <c:lblAlgn val="ctr"/>
        <c:lblOffset val="100"/>
        <c:noMultiLvlLbl val="0"/>
      </c:catAx>
      <c:valAx>
        <c:axId val="101309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Energy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7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287867</xdr:colOff>
      <xdr:row>0</xdr:row>
      <xdr:rowOff>143933</xdr:rowOff>
    </xdr:from>
    <xdr:to>
      <xdr:col>18</xdr:col>
      <xdr:colOff>626533</xdr:colOff>
      <xdr:row>14</xdr:row>
      <xdr:rowOff>42333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BF2039C-DF07-3DE9-78B6-FAB1CFD0C7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</xdr:colOff>
      <xdr:row>0</xdr:row>
      <xdr:rowOff>177800</xdr:rowOff>
    </xdr:from>
    <xdr:to>
      <xdr:col>28</xdr:col>
      <xdr:colOff>338667</xdr:colOff>
      <xdr:row>14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EB7969D-62E4-BFE4-A986-CB2E6A30AC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51405</xdr:colOff>
      <xdr:row>16</xdr:row>
      <xdr:rowOff>162478</xdr:rowOff>
    </xdr:from>
    <xdr:to>
      <xdr:col>27</xdr:col>
      <xdr:colOff>725714</xdr:colOff>
      <xdr:row>43</xdr:row>
      <xdr:rowOff>120951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4677BC-CE43-56FF-8141-D8622187A7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380588</xdr:colOff>
      <xdr:row>3</xdr:row>
      <xdr:rowOff>170675</xdr:rowOff>
    </xdr:from>
    <xdr:to>
      <xdr:col>38</xdr:col>
      <xdr:colOff>761588</xdr:colOff>
      <xdr:row>17</xdr:row>
      <xdr:rowOff>69075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E4D7DBF-A8DC-FC59-7535-9658EC9993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fia Rueda" refreshedDate="45813.474031018515" createdVersion="8" refreshedVersion="8" minRefreshableVersion="3" recordCount="604" xr:uid="{3D53752C-C3C2-8443-B707-A79A536181ED}">
  <cacheSource type="worksheet">
    <worksheetSource ref="A1:I1048576" sheet="Spotify"/>
  </cacheSource>
  <cacheFields count="9">
    <cacheField name="title" numFmtId="0">
      <sharedItems containsBlank="1" containsMixedTypes="1" containsNumber="1" containsInteger="1" minValue="3" maxValue="43776" count="585">
        <s v="My First Kiss - feat. Ke$ha"/>
        <s v="Whataya Want from Me"/>
        <s v="If I Had You"/>
        <s v="Empire State of Mind (Part II) Broken Down"/>
        <s v="Try Sleeping with a Broken Heart"/>
        <s v="Doesn't Mean Anything"/>
        <n v="3"/>
        <s v="Just the Way You Are"/>
        <s v="Marry You"/>
        <s v="Bound To You - Burlesque Original Motion Picture Soundtrack"/>
        <s v="Something's Got A Hold On Me - Burlesque Original Motion Picture Soundtrack"/>
        <s v="You Lost Me"/>
        <s v="Not Myself Tonight"/>
        <s v="Sexy Bitch (feat. Akon)"/>
        <s v="Love The Way You Lie"/>
        <s v="I Like It"/>
        <s v="Like A G6"/>
        <s v="Club Can't Handle Me (feat. David Guetta)"/>
        <s v="Dog Days Are Over"/>
        <s v="Baby"/>
        <s v="Teenage Dream"/>
        <s v="California Gurls"/>
        <s v="TiK ToK"/>
        <s v="Your Love Is My Drug"/>
        <s v="Take It Off"/>
        <s v="Blah Blah Blah (feat. 3OH!3)"/>
        <s v="Bad Romance"/>
        <s v="Telephone"/>
        <s v="Alejandro"/>
        <s v="Misery"/>
        <s v="Hello"/>
        <s v="Cooler Than Me - Single Mix"/>
        <s v="Animal"/>
        <s v="Secrets"/>
        <s v="All The Right Moves"/>
        <s v="Only Girl (In The World)"/>
        <s v="Hard"/>
        <s v="Eenie Meenie"/>
        <s v="Naturally"/>
        <s v="Loca"/>
        <s v="Castle Walls (feat. Christina Aguilera)"/>
        <s v="Dynamite"/>
        <s v="Break Your Heart"/>
        <s v="The Time (Dirty Bit)"/>
        <s v="Meet Me Halfway"/>
        <s v="Imma Be"/>
        <s v="Rock That Body"/>
        <s v="Written in the Stars (feat. Eric Turner)"/>
        <s v="Hey, Soul Sister"/>
        <s v="OMG (feat. will.i.am)"/>
        <s v="DJ Got Us Fallin' In Love (feat. Pitbull)"/>
        <s v="Someone Like You"/>
        <s v="Rolling in the Deep"/>
        <s v="What the Hell"/>
        <s v="Love On Top"/>
        <s v="Run the World (Girls)"/>
        <s v="Best Thing I Never Had"/>
        <s v="1+1"/>
        <s v="Till the World Ends"/>
        <s v="I Wanna Go"/>
        <s v="Hold It Against Me"/>
        <s v="Grenade"/>
        <s v="Yeah 3x"/>
        <s v="A Thousand Years"/>
        <s v="Jar of Hearts"/>
        <s v="Without You (feat. Usher)"/>
        <s v="Tonight (I'm Fuckin' You)"/>
        <s v="Tonight Tonight"/>
        <s v="On The Floor"/>
        <s v="I'm Into You"/>
        <s v="Papi"/>
        <s v="Invading My Mind"/>
        <s v="Price Tag"/>
        <s v="Monster"/>
        <s v="E.T."/>
        <s v="Last Friday Night (T.G.I.F.)"/>
        <s v="Firework"/>
        <s v="We R Who We R"/>
        <s v="Blow"/>
        <s v="Born This Way"/>
        <s v="The Edge Of Glory"/>
        <s v="You And I"/>
        <s v="Judas"/>
        <s v="Marry The Night"/>
        <s v="Party Rock Anthem"/>
        <s v="Sexy And I Know It"/>
        <s v="Moves Like Jagger - Studio Recording From The Voice Performance"/>
        <s v="Please Don't Go"/>
        <s v="Super Bass"/>
        <s v="Moment 4 Life - Album Version (Edited)"/>
        <s v="Muny - Album Version (Edited)"/>
        <s v="Good Life"/>
        <s v="Raise Your Glass"/>
        <s v="Give Me Everything"/>
        <s v="What's My Name?"/>
        <s v="We Found Love"/>
        <s v="Cheers (Drink To That)"/>
        <s v="S&amp;M Remix"/>
        <s v="Turning Page"/>
        <s v="Just Can抰 Get Enough"/>
        <s v="Set Fire to the Rain"/>
        <s v="Locked Out of Heaven"/>
        <s v="It Will Rain"/>
        <s v="Call Me Maybe"/>
        <s v="Turn Up the Music"/>
        <s v="Paradise"/>
        <s v="Titanium (feat. Sia)"/>
        <s v="Lights - Single Version"/>
        <s v="Some Nights"/>
        <s v="We Are Young (feat. Janelle Mon醗)"/>
        <s v="Stereo Hearts (feat. Adam Levine)"/>
        <s v="Dance Again"/>
        <s v="Domino"/>
        <s v="Beauty And A Beat"/>
        <s v="Boyfriend"/>
        <s v="Part Of Me"/>
        <s v="Wide Awake"/>
        <s v="The One That Got Away"/>
        <s v="Stronger (What Doesn't Kill You)"/>
        <s v="Payphone"/>
        <s v="One More Night"/>
        <s v="Starships"/>
        <s v="What Makes You Beautiful"/>
        <s v="Good Time"/>
        <s v="Try"/>
        <s v="Blow Me (One Last Kiss)"/>
        <s v="International Love"/>
        <s v="Don't Stop the Party (feat. TJR)"/>
        <s v="Where Have You Been"/>
        <s v="Diamonds"/>
        <s v="You Da One"/>
        <s v="Love You Like A Love Song"/>
        <s v="I Knew You Were Trouble."/>
        <s v="We Are Never Ever Getting Back Together"/>
        <s v="Glad You Came"/>
        <s v="Girl On Fire (feat. Nicki Minaj) - Inferno Version"/>
        <s v="The Way"/>
        <s v="What About Love"/>
        <s v="Wake Me Up"/>
        <s v="Rock N Roll"/>
        <s v="Work Bitch"/>
        <s v="Ooh La La (from &quot;The Smurfs 2&quot;)"/>
        <s v="Under Control"/>
        <s v="Sweet Nothing (feat. Florence Welch)"/>
        <s v="Overdose"/>
        <s v="Atlas - From 揟he Hunger Games: Catching Fire?Soundtrack"/>
        <s v="Get Lucky (feat. Pharrell Williams &amp; Nile Rodgers) - Radio Edit"/>
        <s v="Lose Yourself to Dance"/>
        <s v="Play Hard (feat. Ne-Yo &amp; Akon) - New Edit"/>
        <s v="Heart Attack"/>
        <s v="Made In The USA"/>
        <s v="Hold On, We're Going Home"/>
        <s v="Anything Could Happen"/>
        <s v="Clown"/>
        <s v="Next To Me"/>
        <s v="Finally Found You"/>
        <s v="A Little Party Never Killed Nobody (All We Got)"/>
        <s v="I Love It (feat. Charli XCX)"/>
        <s v="Impossible"/>
        <s v="Live It Up"/>
        <s v="Foolish Games"/>
        <s v="Pom Poms"/>
        <s v="Heartbreaker"/>
        <s v="Suit &amp; Tie"/>
        <s v="Mirrors - Radio Edit"/>
        <s v="TKO"/>
        <s v="Take Back the Night"/>
        <s v="Roar"/>
        <s v="Underneath the Tree"/>
        <s v="People Like Us"/>
        <s v="Freak"/>
        <s v="Die Young"/>
        <s v="Crazy Kids (feat. will.i.am)"/>
        <s v="Beneath Your Beautiful"/>
        <s v="Applause"/>
        <s v="Summertime Sadness (Lana Del Rey Vs. Cedric Gervais) - Cedric Gervais Remix"/>
        <s v="Move"/>
        <s v="How Ya Doin'? (feat. Missy Elliott)"/>
        <s v="Can't Hold Us (feat. Ray Dalton)"/>
        <s v="Thrift Shop (feat. Wanz)"/>
        <s v="#Beautiful"/>
        <s v="Daylight"/>
        <s v="Love Somebody"/>
        <s v="We Can't Stop"/>
        <s v="Wrecking Ball"/>
        <s v="Everybody Talks"/>
        <s v="Let Me Love You (Until You Learn To Love Yourself)"/>
        <s v="Story of My Life"/>
        <s v="Best Song Ever"/>
        <s v="Kiss You"/>
        <s v="If I Lose Myself - Alesso vs OneRepublic"/>
        <s v="Just Give Me a Reason (feat. Nate Ruess)"/>
        <s v="Feel This Moment (feat. Christina Aguilera)"/>
        <s v="Outta Nowhere (feat. Danny Mercer)"/>
        <s v="Right Now - Dyro Radio Edit"/>
        <s v="Blurred Lines"/>
        <s v="Give It 2 U"/>
        <s v="Brave"/>
        <s v="Come &amp; Get It"/>
        <s v="Don't You Worry Child - Radio Edit"/>
        <s v="Hall of Fame"/>
        <s v="Walks Like Rihanna"/>
        <s v="We Own The Night"/>
        <s v="#thatPOWER"/>
        <s v="Clarity"/>
        <s v="She Looks So Perfect"/>
        <s v="Say Something"/>
        <s v="It's On Again - Main Soundtrack"/>
        <s v="Problem"/>
        <s v="Mmm Yeah (feat. Pitbull)"/>
        <s v="Hey Brother"/>
        <s v="Pompeii"/>
        <s v="Partition"/>
        <s v="XO"/>
        <s v="Drunk in Love"/>
        <s v="Wings"/>
        <s v="Not About Angels"/>
        <s v="Tee Shirt - Soundtrack Version"/>
        <s v="Words as Weapons"/>
        <s v="Treasure"/>
        <s v="Gorilla"/>
        <s v="Young Girls"/>
        <s v="Summer"/>
        <s v="Boom Clap - From the Motion Picture Das Schicksal ist ein mieser Verr鋞er"/>
        <s v="human"/>
        <s v="A Sky Full of Stars"/>
        <s v="Shot Me Down (feat. Skylar Grey) - Radio Edit"/>
        <s v="Let It Go - From &quot;Frozen / Single Version"/>
        <s v="Latch"/>
        <s v="Burn"/>
        <s v="Fancy"/>
        <s v="Talk Dirty (feat. 2 Chainz)"/>
        <s v="Wiggle (feat. Snoop Dogg)"/>
        <s v="I Luh Ya Papi"/>
        <s v="All of Me"/>
        <s v="Love Me Again"/>
        <s v="Not a Bad Thing"/>
        <s v="Dark Horse"/>
        <s v="This Is How We Do"/>
        <s v="Birthday"/>
        <s v="G.U.Y."/>
        <s v="Cannonball"/>
        <s v="Sheezus"/>
        <s v="Team"/>
        <s v="Rude"/>
        <s v="You're Mine (Eternal)"/>
        <s v="Maps"/>
        <s v="Love Never Felt So Good"/>
        <s v="Adore You"/>
        <s v="Anaconda"/>
        <s v="Love Runs Out"/>
        <s v="Let Her Go"/>
        <s v="Happy - From &quot;Despicable Me 2&quot;"/>
        <s v="Come Get It Bae"/>
        <s v="We Are One (Ole Ola) [The Official 2014 FIFA World Cup Song]"/>
        <s v="Stay With Me"/>
        <s v="Can't Remember to Forget You (feat. Rihanna)"/>
        <s v="La La La (Brasil 2014) (feat. Carlinhos Brown)"/>
        <s v="Chandelier"/>
        <s v="Shake It Off"/>
        <s v="#SELFIE"/>
        <s v="Stay The Night - Featuring Hayley Williams Of Paramore"/>
        <s v="Here"/>
        <s v="Heroes (we could be)"/>
        <s v="We Are Here"/>
        <s v="Love Me Harder"/>
        <s v="Break Free"/>
        <s v="Focus"/>
        <s v="Broken Arrows"/>
        <n v="43776"/>
        <s v="How Deep Is Your Love"/>
        <s v="Blame"/>
        <s v="I Really Like You"/>
        <s v="Genie In a Bottle"/>
        <s v="Rather Be (feat. Jess Glynne)"/>
        <s v="Hey Mama (feat. Nicki Minaj, Bebe Rexha &amp; Afrojack)"/>
        <s v="Bang My Head (feat. Sia &amp; Fetty Wap)"/>
        <s v="Yesterday (feat. Bebe Rexha)"/>
        <s v="Really Don't Care"/>
        <s v="Thinking out Loud"/>
        <s v="Don't"/>
        <s v="Sing"/>
        <s v="Bloodstream"/>
        <s v="Love Me Like You Do - From &quot;Fifty Shades Of Grey&quot;"/>
        <s v="On My Mind"/>
        <s v="Let Me Be Your Lover"/>
        <s v="L.A.LOVE (la la)"/>
        <s v="Worth It"/>
        <s v="BO$$"/>
        <s v="My House"/>
        <s v="St Jude"/>
        <s v="Baby Don't Lie"/>
        <s v="Spark The Fire"/>
        <s v="Sparks"/>
        <s v="Take Me To Church"/>
        <s v="Want to Want Me"/>
        <s v="Trumpets"/>
        <s v="Dangerous"/>
        <s v="Booty"/>
        <s v="Feel The Light - From The &quot;Home&quot; Soundtrack"/>
        <s v="Don't Be so Hard on Yourself"/>
        <s v="Bang Bang"/>
        <s v="Love Yourself"/>
        <s v="Sorry"/>
        <s v="What Do You Mean?"/>
        <s v="Company"/>
        <s v="I'll Show You"/>
        <s v="The Feeling"/>
        <s v="What Do You Mean? - Acoustic"/>
        <s v="Mark My Words"/>
        <s v="Been You"/>
        <s v="Legendary Lovers"/>
        <s v="Heartbeat Song"/>
        <s v="Run Run Run"/>
        <s v="Prayer in C - Robin Schulz Radio Edit"/>
        <s v="Love Me Like You"/>
        <s v="Reality - Radio Edit"/>
        <s v="Downtown (feat. Melle Mel, Grandmaster Caz, Kool Moe Dee &amp; Eric Nally)"/>
        <s v="Ghosttown"/>
        <s v="Living For Love"/>
        <s v="Uptown Funk"/>
        <s v="Sugar"/>
        <s v="Animals"/>
        <s v="Dear Future Husband"/>
        <s v="Lips Are Movin"/>
        <s v="All About That Bass"/>
        <s v="Waves - Robin Schulz Radio Edit"/>
        <s v="Runnin' (Lose It All)"/>
        <s v="Jealous - Remix"/>
        <s v="Up"/>
        <s v="Night Changes"/>
        <s v="Perfect"/>
        <s v="Steal My Girl"/>
        <s v="I Lived"/>
        <s v="Only Love Can Hurt Like This"/>
        <s v="Fireball (feat. John Ryan)"/>
        <s v="Celebrate (From the Original Motion Picture &quot;Penguins of Madagascar&quot;)"/>
        <s v="Time of Our Lives"/>
        <s v="Mr. Put It Down"/>
        <s v="FourFiveSeconds"/>
        <s v="American Oxygen"/>
        <s v="Sugar (feat. Francesco Yates)"/>
        <s v="Lay It All on Me"/>
        <s v="I'm Not The Only One"/>
        <s v="The Heart Wants What It Wants"/>
        <s v="Same Old Love"/>
        <s v="Stitches"/>
        <s v="Elastic Heart"/>
        <s v="Alive"/>
        <s v="Easy Love"/>
        <s v="The Hills"/>
        <s v="Earned It (Fifty Shades Of Grey) - From The &quot;Fifty Shades Of Grey&quot; Soundtrack"/>
        <s v="See You Again (feat. Charlie Puth)"/>
        <s v="Never Forget You"/>
        <s v="I Want You To Know"/>
        <s v="All I Ask"/>
        <s v="Send My Love (To Your New Lover)"/>
        <s v="When We Were Young"/>
        <s v="Million Years Ago"/>
        <s v="Scars To Your Beautiful"/>
        <s v="Dangerous Woman"/>
        <s v="Into You"/>
        <s v="Electric Love"/>
        <s v="I Got You"/>
        <s v="Keeping Your Head Up"/>
        <s v="Do You Wanna Come Over?"/>
        <s v="Make Me... (feat. G-Eazy)"/>
        <s v="Invitation"/>
        <s v="This Is What You Came For"/>
        <s v="Higher"/>
        <s v="Run Away With Me"/>
        <s v="One Call Away (feat. Tyga) - Remix"/>
        <s v="Change"/>
        <s v="Body Say"/>
        <s v="Confident"/>
        <s v="Cake By The Ocean"/>
        <s v="Blown"/>
        <s v="Toothbrush"/>
        <s v="Too Good"/>
        <s v="Hurts"/>
        <s v="Work from Home (feat. Ty Dolla $ign)"/>
        <s v="Wish That You Were Here - From 揗iss Peregrine抯 Home for Peculiar Children?Original Motion Picture"/>
        <s v="Me, Myself &amp; I"/>
        <s v="Make Me Like You"/>
        <s v="Starving"/>
        <s v="Little Lies"/>
        <s v="BURNITUP!"/>
        <s v="Ain't Your Mama"/>
        <s v="Picky - Remix"/>
        <s v="Start"/>
        <s v="CAN'T STOP THE FEELING! (Original Song from DreamWorks Animation's &quot;TROLLS&quot;)"/>
        <s v="Rise"/>
        <s v="Million Reasons"/>
        <s v="Perfect Illusion"/>
        <s v="Shout Out to My Ex"/>
        <s v="7 Years"/>
        <s v="Final Song"/>
        <s v="Light It Up (feat. Nyla &amp; Fuse ODG) [Remix]"/>
        <s v="Cold Water (feat. Justin Bieber &amp; M?"/>
        <s v="In the Name of Love"/>
        <s v="Me Too"/>
        <s v="Like I'm Gonna Lose You (feat. John Legend)"/>
        <s v="NO"/>
        <s v="I Took A Pill In Ibiza - Seeb Remix"/>
        <s v="WTF (Where They From)"/>
        <s v="Pep Rally"/>
        <s v="Behind Your Back"/>
        <s v="Champagne Problems"/>
        <s v="Close"/>
        <s v="Wherever I Go"/>
        <s v="Just Like Fire (From the Original Motion Picture &quot;Alice Through The Looking Glass&quot;)"/>
        <s v="Beautiful Birds (feat. Birdy)"/>
        <s v="Work"/>
        <s v="Needed Me"/>
        <s v="Hands To Myself"/>
        <s v="Kill Em With Kindness"/>
        <s v="I Know What You Did Last Summer"/>
        <s v="Don't Be A Fool"/>
        <s v="Cheap Thrills"/>
        <s v="Cruel (feat. ZAYN)"/>
        <s v="Out Of The Woods"/>
        <s v="Roses"/>
        <s v="All We Know"/>
        <s v="Don't Let Me Down"/>
        <s v="Cool Girl"/>
        <s v="Desire"/>
        <s v="PILLOWTALK"/>
        <s v="LIKE I WOULD"/>
        <s v="True Colors"/>
        <s v="Water Under the Bridge"/>
        <s v="Tired"/>
        <s v="How Far I'll Go - From &quot;Moana&quot;"/>
        <s v="Side To Side"/>
        <s v="That's What I Like"/>
        <s v="24K Magic"/>
        <s v="My Way"/>
        <s v="Slide (feat. Frank Ocean &amp; Migos)"/>
        <s v="Crying in the Club"/>
        <s v="Bodak Yellow"/>
        <s v="Cut To The Feeling"/>
        <s v="Love Incredible (feat. Camila Cabello)"/>
        <s v="We Don't Talk Anymore - DROELOE Remix"/>
        <s v="Rockabye (feat. Sean Paul &amp; Anne-Marie)"/>
        <s v="Reggaet髇 Lento (Remix)"/>
        <s v="A L I E N S"/>
        <s v="I'm the One (feat. Justin Bieber, Quavo, Chance the Rapper &amp; Lil Wayne)"/>
        <s v="Let Me Love You"/>
        <s v="Kissing Strangers"/>
        <s v="Body Moves"/>
        <s v="Kissing Strangers - Remix"/>
        <s v="Shape of You"/>
        <s v="Angel"/>
        <s v="Rich Boy"/>
        <s v="Mama"/>
        <s v="Swish Swish"/>
        <s v="Chained To The Rhythm"/>
        <s v="Bon app閠it"/>
        <s v="Praying"/>
        <s v="It Ain't Me (with Selena Gomez)"/>
        <s v="First Time"/>
        <s v="The Cure"/>
        <s v="Love"/>
        <s v="Summer Bummer (feat. A$AP Rocky &amp; Playboi Carti)"/>
        <s v="Lust for Life (with The Weeknd)"/>
        <s v="Strip That Down (feat. Quavo)"/>
        <s v="Touch (feat. Kid Ink)"/>
        <s v="Reality (feat. Janieck Devy) - Radio Edit"/>
        <s v="Despacito - Remix"/>
        <s v="Cold (feat. Future)"/>
        <s v="There for You"/>
        <s v="Malibu"/>
        <s v="Younger Now"/>
        <s v="Slow Hands"/>
        <s v="Remember I Told You"/>
        <s v="Rich Love (with Seeb)"/>
        <s v="No Vacancy (with Sebasti醤 Yatra)"/>
        <s v="Greenlight (feat. Flo Rida &amp; LunchMoney Lewis)"/>
        <s v="Messin' Around"/>
        <s v="OK - Spotify Version"/>
        <s v="Treat You Better"/>
        <s v="Mercy"/>
        <s v="The Greatest"/>
        <s v="Free Me"/>
        <s v="Came Here for Love"/>
        <s v="Closer"/>
        <s v="Something Just Like This"/>
        <s v="Paris"/>
        <s v="Starboy"/>
        <s v="I Feel It Coming"/>
        <s v="Influence"/>
        <s v="I Don抰 Wanna Live Forever (Fifty Shades Darker)"/>
        <s v="Stay"/>
        <s v="Get Low (with Liam Payne)"/>
        <s v="Supernova"/>
        <s v="no tears left to cry"/>
        <s v="Ferrari"/>
        <s v="Finesse - Remix; feat. Cardi B"/>
        <s v="One Kiss (with Dua Lipa)"/>
        <s v="Havana (feat. Young Thug)"/>
        <s v="Never Be the Same - Radio Edit"/>
        <s v="Drip (feat. Migos)"/>
        <s v="Miss You (with Major Lazer &amp; Tory Lanez)"/>
        <s v="Attention"/>
        <s v="Tequila"/>
        <s v="2U (feat. Justin Bieber)"/>
        <s v="Sorry Not Sorry"/>
        <s v="Tell Me You Love Me - NOTD Remix"/>
        <s v="Wild Thoughts (feat. Rihanna &amp; Bryson Tiller)"/>
        <s v="IDGAF"/>
        <s v="New Rules"/>
        <s v="Want To"/>
        <s v="Perfect Duet (Ed Sheeran &amp; Beyonc?"/>
        <s v="Walk On Water (feat. Beyonc?"/>
        <s v="MOVE TO MIAMI"/>
        <s v="Him &amp; I (with Halsey)"/>
        <s v="Let Me Go (with Alesso, Florida Georgia Line &amp; watt)"/>
        <s v="Capital Letters"/>
        <s v="Bad At Love"/>
        <s v="Sign of the Times"/>
        <s v="What I Need (feat. Kehlani)"/>
        <s v="Mi Gente (feat. Beyonc?"/>
        <s v="Friends (with BloodPop?"/>
        <s v="Filthy"/>
        <s v="Supplies"/>
        <s v="Shallow - Radio Edit"/>
        <s v="Familiar"/>
        <s v="For You (With Rita Ora)"/>
        <s v="What Lovers Do (feat. SZA)"/>
        <s v="Wait"/>
        <s v="Silence"/>
        <s v="Lemon"/>
        <s v="This Town"/>
        <s v="Chun-Li"/>
        <s v="What About Us"/>
        <s v="Boom Boom"/>
        <s v="Love On The Brain"/>
        <s v="Anywhere"/>
        <s v="Girls (feat. Cardi B, Bebe Rexha &amp; Charli XCX)"/>
        <s v="These Days"/>
        <s v="Wolves"/>
        <s v="Bad Liar"/>
        <s v="There's Nothing Holdin' Me Back"/>
        <s v="In My Blood"/>
        <s v="Youth (feat. Khalid)"/>
        <s v="Nervous"/>
        <s v="Electricity (with Dua Lipa)"/>
        <s v="Look What You Made Me Do"/>
        <s v="End Game"/>
        <s v="...Ready For It? - BloodPop?Remix"/>
        <s v="Sick Boy"/>
        <s v="My My My!"/>
        <s v="Dusk Till Dawn - Radio Edit"/>
        <s v="Let Me"/>
        <s v="Giant (with Rag'n'Bone Man)"/>
        <s v="No Guidance (feat. Drake)"/>
        <s v="Con Calma - Remix"/>
        <s v="No Brainer (feat. Justin Bieber, Chance the Rapper &amp; Quavo)"/>
        <s v="Taki Taki (feat. Selena Gomez, Ozuna &amp; Cardi B)"/>
        <s v="South of the Border (feat. Camila Cabello &amp; Cardi B)"/>
        <s v="Beautiful People (feat. Khalid)"/>
        <s v="I Don't Care (with Justin Bieber)"/>
        <s v="Antisocial (with Travis Scott)"/>
        <s v="Cross Me (feat. Chance the Rapper &amp; PnB Rock)"/>
        <s v="Only Human"/>
        <s v="Sucker"/>
        <s v="Talk (feat. Disclosure)"/>
        <s v="Higher Love"/>
        <s v="Someone You Loved"/>
        <s v="Good as Hell (feat. Ariana Grande) - Remix"/>
        <s v="Truth Hurts"/>
        <s v="Don't Call Me Up"/>
        <s v="Find U Again (feat. Camila Cabello)"/>
        <s v="Nothing Breaks Like a Heart (feat. Miley Cyrus)"/>
        <s v="Memories"/>
        <s v="Girls Like You (feat. Cardi B)"/>
        <s v="Happier"/>
        <s v="All Around The World (La La La)"/>
        <s v="How Do You Sleep?"/>
        <s v="Lose You To Love Me"/>
        <s v="Trampoline (with ZAYN)"/>
        <s v="Se駉rita"/>
        <s v="Takeaway"/>
        <s v="Call You Mine"/>
        <s v="Kills You Slowly"/>
        <m/>
      </sharedItems>
    </cacheField>
    <cacheField name="artist" numFmtId="0">
      <sharedItems containsBlank="1" count="185">
        <s v="3OH!3"/>
        <s v="Adam Lambert"/>
        <s v="Alicia Keys"/>
        <s v="Britney Spears"/>
        <s v="Bruno Mars"/>
        <s v="Christina Aguilera"/>
        <s v="David Guetta"/>
        <s v="Eminem"/>
        <s v="Enrique Iglesias"/>
        <s v="Far East Movement"/>
        <s v="Flo Rida"/>
        <s v="Florence + The Machine"/>
        <s v="Justin Bieber"/>
        <s v="Katy Perry"/>
        <s v="Kesha"/>
        <s v="Lady Gaga"/>
        <s v="Maroon 5"/>
        <s v="Martin Solveig"/>
        <s v="Mike Posner"/>
        <s v="Neon Trees"/>
        <s v="OneRepublic"/>
        <s v="Rihanna"/>
        <s v="Sean Kingston"/>
        <s v="Selena Gomez &amp; The Scene"/>
        <s v="Shakira"/>
        <s v="T.I."/>
        <s v="Taio Cruz"/>
        <s v="The Black Eyed Peas"/>
        <s v="Tinie Tempah"/>
        <s v="Train"/>
        <s v="Usher"/>
        <s v="Adele"/>
        <s v="Avril Lavigne"/>
        <s v="Beyonce"/>
        <s v="Chris Brown"/>
        <s v="Christina Perri"/>
        <s v="Hot Chelle Rae"/>
        <s v="Jennifer Lopez"/>
        <s v="Jessie J"/>
        <s v="Kanye West"/>
        <s v="LMFAO"/>
        <s v="Nicki Minaj"/>
        <s v="P!nk"/>
        <s v="Pitbull"/>
        <s v="Sleeping At Last"/>
        <s v="Carly Rae Jepsen"/>
        <s v="Coldplay"/>
        <s v="Ellie Goulding"/>
        <s v="fun."/>
        <s v="Gym Class Heroes"/>
        <s v="Kelly Clarkson"/>
        <s v="One Direction"/>
        <s v="Owl City"/>
        <s v="Taylor Swift"/>
        <s v="The Wanted"/>
        <s v="Ariana Grande"/>
        <s v="Austin Mahone"/>
        <s v="Avicii"/>
        <s v="Calvin Harris"/>
        <s v="Ciara"/>
        <s v="Daft Punk"/>
        <s v="Demi Lovato"/>
        <s v="Drake"/>
        <s v="Emeli Sande"/>
        <s v="Fergie"/>
        <s v="Icona Pop"/>
        <s v="James Arthur"/>
        <s v="Jewel"/>
        <s v="Jonas Brothers"/>
        <s v="Justin Timberlake"/>
        <s v="Kelly Rowland"/>
        <s v="Labrinth"/>
        <s v="Lana Del Rey"/>
        <s v="Little Mix"/>
        <s v="Macklemore &amp; Ryan Lewis"/>
        <s v="Mariah Carey"/>
        <s v="Miley Cyrus"/>
        <s v="Ne-Yo"/>
        <s v="Robin Thicke"/>
        <s v="Sara Bareilles"/>
        <s v="Selena Gomez"/>
        <s v="Swedish House Mafia"/>
        <s v="The Script"/>
        <s v="will.i.am"/>
        <s v="Zedd"/>
        <s v="5 Seconds of Summer"/>
        <s v="A Great Big World"/>
        <s v="Bastille"/>
        <s v="Birdy"/>
        <s v="Charli XCX"/>
        <s v="Disclosure"/>
        <s v="Iggy Azalea"/>
        <s v="Jason Derulo"/>
        <s v="John Legend"/>
        <s v="John Newman"/>
        <s v="Lea Michele"/>
        <s v="Lily Allen"/>
        <s v="Lorde"/>
        <s v="MAGIC!"/>
        <s v="Michael Jackson"/>
        <s v="Passenger"/>
        <s v="Pharrell Williams"/>
        <s v="Sam Smith"/>
        <s v="Sia"/>
        <s v="The Chainsmokers"/>
        <s v="Alessia Cara"/>
        <s v="Alesso"/>
        <s v="Clean Bandit"/>
        <s v="Ed Sheeran"/>
        <s v="Fifth Harmony"/>
        <s v="Gwen Stefani"/>
        <s v="Hilary Duff"/>
        <s v="Hozier"/>
        <s v="Jennifer Hudson"/>
        <s v="Jess Glynne"/>
        <s v="Lilly Wood and The Prick"/>
        <s v="Lost Frequencies"/>
        <s v="Madonna"/>
        <s v="Mark Ronson"/>
        <s v="Meghan Trainor"/>
        <s v="Mr. Probz"/>
        <s v="Naughty Boy"/>
        <s v="Nick Jonas"/>
        <s v="Olly Murs"/>
        <s v="Paloma Faith"/>
        <s v="Ricky Martin"/>
        <s v="Robin Schulz"/>
        <s v="Rudimental"/>
        <s v="Shawn Mendes"/>
        <s v="Sigala"/>
        <s v="The Weeknd"/>
        <s v="Wiz Khalifa"/>
        <s v="Zara Larsson"/>
        <s v="B0NS"/>
        <s v="Bebe Rexha"/>
        <s v="Charlie Puth"/>
        <s v="DNCE"/>
        <s v="G-Eazy"/>
        <s v="Hailee Steinfeld"/>
        <s v="Janet Jackson"/>
        <s v="Joey Montana"/>
        <s v="Lukas Graham"/>
        <s v="M0"/>
        <s v="Major Lazer"/>
        <s v="Martin Garrix"/>
        <s v="Missy Elliott"/>
        <s v="Nelly Furtado"/>
        <s v="Snakehips"/>
        <s v="Tove Lo"/>
        <s v="Years &amp; Years"/>
        <s v="ZAYN"/>
        <s v="Alan Walker"/>
        <s v="Camila Cabello"/>
        <s v="Cardi B"/>
        <s v="Cashmere Cat"/>
        <s v="CNCO"/>
        <s v="DJ Khaled"/>
        <s v="DJ Snake"/>
        <s v="Galantis"/>
        <s v="Jonas Blue"/>
        <s v="Kygo"/>
        <s v="Liam Payne"/>
        <s v="Luis Fonsi"/>
        <s v="Niall Horan"/>
        <s v="Ansel Elgort"/>
        <s v="Dan + Shay"/>
        <s v="Dua Lipa"/>
        <s v="Halsey"/>
        <s v="Harry Styles"/>
        <s v="Hayley Kiyoko"/>
        <s v="J Balvin"/>
        <s v="Marshmello"/>
        <s v="N.E.R.D"/>
        <s v="RedOne"/>
        <s v="Rita Ora"/>
        <s v="Silk City"/>
        <s v="Troye Sivan"/>
        <s v="Daddy Yankee"/>
        <s v="Khalid"/>
        <s v="Lewis Capaldi"/>
        <s v="Lizzo"/>
        <s v="Mabel"/>
        <s v="R3HAB"/>
        <s v="SHAED"/>
        <m/>
      </sharedItems>
    </cacheField>
    <cacheField name="genre" numFmtId="0">
      <sharedItems containsBlank="1" count="51">
        <s v="dance pop"/>
        <s v="australian pop"/>
        <s v="hip pop"/>
        <s v="pop"/>
        <s v="detroit hip hop"/>
        <s v="art pop"/>
        <s v="canadian pop"/>
        <s v="big room"/>
        <s v="indie pop"/>
        <s v="barbadian pop"/>
        <s v="colombian pop"/>
        <s v="atl hip hop"/>
        <s v="neo mellow"/>
        <s v="british soul"/>
        <s v="chicago rap"/>
        <s v="acoustic pop"/>
        <s v="permanent wave"/>
        <s v="baroque pop"/>
        <s v="boy band"/>
        <s v="electro"/>
        <s v="canadian hip hop"/>
        <s v="candy pop"/>
        <s v="alaska indie"/>
        <s v="celtic rock"/>
        <s v="complextro"/>
        <s v="metropopolis"/>
        <s v="house"/>
        <s v="australian hip hop"/>
        <s v="hollywood"/>
        <s v="folk-pop"/>
        <s v="australian dance"/>
        <s v="electropop"/>
        <s v="canadian contemporary r&amp;b"/>
        <s v="irish singer-songwriter"/>
        <s v="french indie pop"/>
        <s v="belgian edm"/>
        <s v="tropical house"/>
        <s v="hip hop"/>
        <s v="latin"/>
        <s v="danish pop"/>
        <s v="canadian latin"/>
        <s v="electro house"/>
        <s v="downtempo"/>
        <s v="electronic trap"/>
        <s v="edm"/>
        <s v="contemporary country"/>
        <s v="brostep"/>
        <s v="moroccan pop"/>
        <s v="alternative r&amp;b"/>
        <s v="escape room"/>
        <m/>
      </sharedItems>
    </cacheField>
    <cacheField name="year" numFmtId="0">
      <sharedItems containsString="0" containsBlank="1" containsNumber="1" containsInteger="1" minValue="2010" maxValue="2019" count="11">
        <n v="2010"/>
        <n v="2011"/>
        <n v="2012"/>
        <n v="2013"/>
        <n v="2014"/>
        <n v="2015"/>
        <n v="2016"/>
        <n v="2017"/>
        <n v="2018"/>
        <n v="2019"/>
        <m/>
      </sharedItems>
    </cacheField>
    <cacheField name="danceability" numFmtId="0">
      <sharedItems containsString="0" containsBlank="1" containsNumber="1" minValue="0" maxValue="0.97"/>
    </cacheField>
    <cacheField name="duration_s" numFmtId="0">
      <sharedItems containsString="0" containsBlank="1" containsNumber="1" containsInteger="1" minValue="134" maxValue="424"/>
    </cacheField>
    <cacheField name="energy" numFmtId="0">
      <sharedItems containsString="0" containsBlank="1" containsNumber="1" minValue="0" maxValue="0.98"/>
    </cacheField>
    <cacheField name="tempo_bpm" numFmtId="0">
      <sharedItems containsString="0" containsBlank="1" containsNumber="1" containsInteger="1" minValue="0" maxValue="206" count="105">
        <n v="138"/>
        <n v="186"/>
        <n v="131"/>
        <n v="93"/>
        <n v="111"/>
        <n v="104"/>
        <n v="135"/>
        <n v="109"/>
        <n v="145"/>
        <n v="164"/>
        <n v="150"/>
        <n v="43"/>
        <n v="120"/>
        <n v="130"/>
        <n v="87"/>
        <n v="129"/>
        <n v="125"/>
        <n v="128"/>
        <n v="65"/>
        <n v="119"/>
        <n v="122"/>
        <n v="99"/>
        <n v="103"/>
        <n v="148"/>
        <n v="146"/>
        <n v="126"/>
        <n v="182"/>
        <n v="121"/>
        <n v="133"/>
        <n v="112"/>
        <n v="80"/>
        <n v="92"/>
        <n v="91"/>
        <n v="97"/>
        <n v="105"/>
        <n v="94"/>
        <n v="127"/>
        <n v="63"/>
        <n v="132"/>
        <n v="110"/>
        <n v="139"/>
        <n v="75"/>
        <n v="100"/>
        <n v="84"/>
        <n v="175"/>
        <n v="152"/>
        <n v="124"/>
        <n v="98"/>
        <n v="95"/>
        <n v="108"/>
        <n v="144"/>
        <n v="140"/>
        <n v="184"/>
        <n v="90"/>
        <n v="160"/>
        <n v="134"/>
        <n v="116"/>
        <n v="114"/>
        <n v="117"/>
        <n v="77"/>
        <n v="86"/>
        <n v="82"/>
        <n v="107"/>
        <n v="136"/>
        <n v="174"/>
        <n v="170"/>
        <n v="102"/>
        <n v="180"/>
        <n v="201"/>
        <n v="155"/>
        <n v="118"/>
        <n v="185"/>
        <n v="85"/>
        <n v="83"/>
        <n v="76"/>
        <n v="192"/>
        <n v="96"/>
        <n v="149"/>
        <n v="158"/>
        <n v="176"/>
        <n v="79"/>
        <n v="89"/>
        <n v="190"/>
        <n v="202"/>
        <n v="156"/>
        <n v="113"/>
        <n v="123"/>
        <n v="106"/>
        <n v="115"/>
        <n v="206"/>
        <n v="78"/>
        <n v="142"/>
        <n v="0"/>
        <n v="101"/>
        <n v="163"/>
        <n v="181"/>
        <n v="159"/>
        <n v="167"/>
        <n v="81"/>
        <n v="73"/>
        <n v="178"/>
        <n v="88"/>
        <n v="172"/>
        <n v="168"/>
        <m/>
      </sharedItems>
    </cacheField>
    <cacheField name="popularity" numFmtId="0">
      <sharedItems containsString="0" containsBlank="1" containsNumber="1" containsInteger="1" minValue="0" maxValue="99"/>
    </cacheField>
  </cacheFields>
  <extLst>
    <ext xmlns:x14="http://schemas.microsoft.com/office/spreadsheetml/2009/9/main" uri="{725AE2AE-9491-48be-B2B4-4EB974FC3084}">
      <x14:pivotCacheDefinition pivotCacheId="140354865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fia Rueda" refreshedDate="45813.618467361113" createdVersion="8" refreshedVersion="8" minRefreshableVersion="3" recordCount="605" xr:uid="{A125D30C-BEA7-FB4B-8551-2A757E632B43}">
  <cacheSource type="worksheet">
    <worksheetSource ref="A1:J1048576" sheet="Spotify"/>
  </cacheSource>
  <cacheFields count="10">
    <cacheField name="title" numFmtId="0">
      <sharedItems containsBlank="1" containsMixedTypes="1" containsNumber="1" containsInteger="1" minValue="3" maxValue="43776"/>
    </cacheField>
    <cacheField name="artist" numFmtId="0">
      <sharedItems containsBlank="1"/>
    </cacheField>
    <cacheField name="genre" numFmtId="0">
      <sharedItems containsBlank="1"/>
    </cacheField>
    <cacheField name="year" numFmtId="0">
      <sharedItems containsString="0" containsBlank="1" containsNumber="1" containsInteger="1" minValue="2010" maxValue="2019" count="11">
        <n v="2018"/>
        <n v="2014"/>
        <n v="2016"/>
        <n v="2017"/>
        <n v="2015"/>
        <n v="2019"/>
        <n v="2012"/>
        <n v="2013"/>
        <n v="2010"/>
        <n v="2011"/>
        <m/>
      </sharedItems>
    </cacheField>
    <cacheField name="danceability" numFmtId="0">
      <sharedItems containsString="0" containsBlank="1" containsNumber="1" minValue="0" maxValue="0.97"/>
    </cacheField>
    <cacheField name="duration_s" numFmtId="0">
      <sharedItems containsString="0" containsBlank="1" containsNumber="1" containsInteger="1" minValue="134" maxValue="424"/>
    </cacheField>
    <cacheField name="energy" numFmtId="0">
      <sharedItems containsString="0" containsBlank="1" containsNumber="1" minValue="0" maxValue="0.98"/>
    </cacheField>
    <cacheField name="tempo_bpm" numFmtId="0">
      <sharedItems containsString="0" containsBlank="1" containsNumber="1" containsInteger="1" minValue="0" maxValue="206" count="105">
        <n v="130"/>
        <n v="121"/>
        <n v="120"/>
        <n v="124"/>
        <n v="125"/>
        <n v="95"/>
        <n v="109"/>
        <n v="136"/>
        <n v="100"/>
        <n v="116"/>
        <n v="106"/>
        <n v="122"/>
        <n v="117"/>
        <n v="115"/>
        <n v="98"/>
        <n v="134"/>
        <n v="97"/>
        <n v="96"/>
        <n v="138"/>
        <n v="110"/>
        <n v="123"/>
        <n v="90"/>
        <n v="128"/>
        <n v="107"/>
        <n v="103"/>
        <n v="111"/>
        <n v="112"/>
        <n v="102"/>
        <n v="105"/>
        <n v="94"/>
        <n v="126"/>
        <n v="118"/>
        <n v="79"/>
        <n v="114"/>
        <n v="139"/>
        <n v="127"/>
        <n v="144"/>
        <n v="119"/>
        <n v="93"/>
        <n v="140"/>
        <n v="135"/>
        <n v="91"/>
        <n v="87"/>
        <n v="150"/>
        <n v="108"/>
        <n v="113"/>
        <n v="104"/>
        <n v="86"/>
        <n v="65"/>
        <n v="129"/>
        <n v="92"/>
        <n v="152"/>
        <n v="158"/>
        <n v="82"/>
        <n v="155"/>
        <n v="186"/>
        <n v="132"/>
        <n v="80"/>
        <n v="164"/>
        <n v="148"/>
        <n v="76"/>
        <n v="192"/>
        <n v="99"/>
        <n v="131"/>
        <n v="133"/>
        <n v="160"/>
        <n v="159"/>
        <n v="178"/>
        <n v="175"/>
        <n v="146"/>
        <n v="149"/>
        <n v="176"/>
        <n v="163"/>
        <n v="145"/>
        <n v="77"/>
        <n v="83"/>
        <n v="81"/>
        <n v="84"/>
        <n v="142"/>
        <n v="88"/>
        <n v="206"/>
        <n v="73"/>
        <n v="180"/>
        <n v="185"/>
        <n v="101"/>
        <n v="75"/>
        <n v="172"/>
        <n v="174"/>
        <n v="89"/>
        <n v="202"/>
        <n v="184"/>
        <n v="170"/>
        <n v="156"/>
        <n v="168"/>
        <n v="190"/>
        <n v="85"/>
        <n v="78"/>
        <n v="167"/>
        <n v="201"/>
        <n v="182"/>
        <n v="181"/>
        <n v="63"/>
        <n v="43"/>
        <n v="0"/>
        <m/>
      </sharedItems>
    </cacheField>
    <cacheField name="popularity" numFmtId="0">
      <sharedItems containsString="0" containsBlank="1" containsNumber="1" containsInteger="1" minValue="0" maxValue="99"/>
    </cacheField>
    <cacheField name="binning_tempo_bpm" numFmtId="0">
      <sharedItems containsBlank="1" count="3">
        <s v="Fast"/>
        <s v="Slow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4">
  <r>
    <x v="0"/>
    <x v="0"/>
    <x v="0"/>
    <x v="0"/>
    <n v="0.68"/>
    <n v="192"/>
    <n v="0.89"/>
    <x v="0"/>
    <n v="62"/>
  </r>
  <r>
    <x v="1"/>
    <x v="1"/>
    <x v="1"/>
    <x v="0"/>
    <n v="0.44"/>
    <n v="227"/>
    <n v="0.68"/>
    <x v="1"/>
    <n v="66"/>
  </r>
  <r>
    <x v="2"/>
    <x v="1"/>
    <x v="1"/>
    <x v="0"/>
    <n v="0.65"/>
    <n v="228"/>
    <n v="0.91"/>
    <x v="2"/>
    <n v="59"/>
  </r>
  <r>
    <x v="3"/>
    <x v="2"/>
    <x v="2"/>
    <x v="0"/>
    <n v="0.48"/>
    <n v="216"/>
    <n v="0.37"/>
    <x v="3"/>
    <n v="76"/>
  </r>
  <r>
    <x v="4"/>
    <x v="2"/>
    <x v="2"/>
    <x v="0"/>
    <n v="0.5"/>
    <n v="249"/>
    <n v="0.82"/>
    <x v="4"/>
    <n v="62"/>
  </r>
  <r>
    <x v="5"/>
    <x v="2"/>
    <x v="2"/>
    <x v="0"/>
    <n v="0.71"/>
    <n v="273"/>
    <n v="0.41"/>
    <x v="5"/>
    <n v="57"/>
  </r>
  <r>
    <x v="6"/>
    <x v="3"/>
    <x v="0"/>
    <x v="0"/>
    <n v="0.7"/>
    <n v="213"/>
    <n v="0.71"/>
    <x v="6"/>
    <n v="62"/>
  </r>
  <r>
    <x v="7"/>
    <x v="4"/>
    <x v="3"/>
    <x v="0"/>
    <n v="0.64"/>
    <n v="221"/>
    <n v="0.84"/>
    <x v="7"/>
    <n v="78"/>
  </r>
  <r>
    <x v="8"/>
    <x v="4"/>
    <x v="3"/>
    <x v="0"/>
    <n v="0.62"/>
    <n v="230"/>
    <n v="0.83"/>
    <x v="8"/>
    <n v="73"/>
  </r>
  <r>
    <x v="9"/>
    <x v="5"/>
    <x v="0"/>
    <x v="0"/>
    <n v="0.28999999999999998"/>
    <n v="264"/>
    <n v="0.41"/>
    <x v="9"/>
    <n v="61"/>
  </r>
  <r>
    <x v="10"/>
    <x v="5"/>
    <x v="0"/>
    <x v="0"/>
    <n v="0.51"/>
    <n v="185"/>
    <n v="0.85"/>
    <x v="10"/>
    <n v="58"/>
  </r>
  <r>
    <x v="11"/>
    <x v="5"/>
    <x v="0"/>
    <x v="0"/>
    <n v="0.23"/>
    <n v="257"/>
    <n v="0.39"/>
    <x v="11"/>
    <n v="56"/>
  </r>
  <r>
    <x v="12"/>
    <x v="5"/>
    <x v="0"/>
    <x v="0"/>
    <n v="0.76"/>
    <n v="186"/>
    <n v="0.81"/>
    <x v="12"/>
    <n v="55"/>
  </r>
  <r>
    <x v="13"/>
    <x v="6"/>
    <x v="0"/>
    <x v="0"/>
    <n v="0.81"/>
    <n v="196"/>
    <n v="0.63"/>
    <x v="13"/>
    <n v="61"/>
  </r>
  <r>
    <x v="14"/>
    <x v="7"/>
    <x v="4"/>
    <x v="0"/>
    <n v="0.75"/>
    <n v="263"/>
    <n v="0.93"/>
    <x v="14"/>
    <n v="82"/>
  </r>
  <r>
    <x v="15"/>
    <x v="8"/>
    <x v="0"/>
    <x v="0"/>
    <n v="0.65"/>
    <n v="231"/>
    <n v="0.94"/>
    <x v="15"/>
    <n v="63"/>
  </r>
  <r>
    <x v="16"/>
    <x v="9"/>
    <x v="0"/>
    <x v="0"/>
    <n v="0.44"/>
    <n v="217"/>
    <n v="0.84"/>
    <x v="16"/>
    <n v="72"/>
  </r>
  <r>
    <x v="17"/>
    <x v="10"/>
    <x v="0"/>
    <x v="0"/>
    <n v="0.62"/>
    <n v="235"/>
    <n v="0.87"/>
    <x v="17"/>
    <n v="73"/>
  </r>
  <r>
    <x v="18"/>
    <x v="11"/>
    <x v="5"/>
    <x v="0"/>
    <n v="0.5"/>
    <n v="253"/>
    <n v="0.81"/>
    <x v="10"/>
    <n v="58"/>
  </r>
  <r>
    <x v="19"/>
    <x v="12"/>
    <x v="6"/>
    <x v="0"/>
    <n v="0.73"/>
    <n v="214"/>
    <n v="0.86"/>
    <x v="18"/>
    <n v="77"/>
  </r>
  <r>
    <x v="20"/>
    <x v="13"/>
    <x v="0"/>
    <x v="0"/>
    <n v="0.72"/>
    <n v="228"/>
    <n v="0.8"/>
    <x v="12"/>
    <n v="63"/>
  </r>
  <r>
    <x v="21"/>
    <x v="13"/>
    <x v="0"/>
    <x v="0"/>
    <n v="0.79"/>
    <n v="235"/>
    <n v="0.75"/>
    <x v="16"/>
    <n v="62"/>
  </r>
  <r>
    <x v="22"/>
    <x v="14"/>
    <x v="0"/>
    <x v="0"/>
    <n v="0.76"/>
    <n v="200"/>
    <n v="0.84"/>
    <x v="12"/>
    <n v="80"/>
  </r>
  <r>
    <x v="23"/>
    <x v="14"/>
    <x v="0"/>
    <x v="0"/>
    <n v="0.83"/>
    <n v="187"/>
    <n v="0.61"/>
    <x v="12"/>
    <n v="69"/>
  </r>
  <r>
    <x v="24"/>
    <x v="14"/>
    <x v="0"/>
    <x v="0"/>
    <n v="0.73"/>
    <n v="215"/>
    <n v="0.68"/>
    <x v="16"/>
    <n v="66"/>
  </r>
  <r>
    <x v="25"/>
    <x v="14"/>
    <x v="0"/>
    <x v="0"/>
    <n v="0.75"/>
    <n v="172"/>
    <n v="0.84"/>
    <x v="12"/>
    <n v="62"/>
  </r>
  <r>
    <x v="26"/>
    <x v="15"/>
    <x v="0"/>
    <x v="0"/>
    <n v="0.7"/>
    <n v="295"/>
    <n v="0.92"/>
    <x v="19"/>
    <n v="79"/>
  </r>
  <r>
    <x v="27"/>
    <x v="15"/>
    <x v="0"/>
    <x v="0"/>
    <n v="0.83"/>
    <n v="221"/>
    <n v="0.83"/>
    <x v="20"/>
    <n v="73"/>
  </r>
  <r>
    <x v="28"/>
    <x v="15"/>
    <x v="0"/>
    <x v="0"/>
    <n v="0.63"/>
    <n v="274"/>
    <n v="0.8"/>
    <x v="21"/>
    <n v="69"/>
  </r>
  <r>
    <x v="29"/>
    <x v="16"/>
    <x v="3"/>
    <x v="0"/>
    <n v="0.7"/>
    <n v="216"/>
    <n v="0.81"/>
    <x v="22"/>
    <n v="65"/>
  </r>
  <r>
    <x v="30"/>
    <x v="17"/>
    <x v="7"/>
    <x v="0"/>
    <n v="0.67"/>
    <n v="191"/>
    <n v="0.98"/>
    <x v="17"/>
    <n v="0"/>
  </r>
  <r>
    <x v="31"/>
    <x v="18"/>
    <x v="0"/>
    <x v="0"/>
    <n v="0.77"/>
    <n v="213"/>
    <n v="0.82"/>
    <x v="13"/>
    <n v="73"/>
  </r>
  <r>
    <x v="32"/>
    <x v="19"/>
    <x v="8"/>
    <x v="0"/>
    <n v="0.48"/>
    <n v="212"/>
    <n v="0.83"/>
    <x v="23"/>
    <n v="65"/>
  </r>
  <r>
    <x v="33"/>
    <x v="20"/>
    <x v="0"/>
    <x v="0"/>
    <n v="0.52"/>
    <n v="225"/>
    <n v="0.76"/>
    <x v="23"/>
    <n v="77"/>
  </r>
  <r>
    <x v="34"/>
    <x v="20"/>
    <x v="0"/>
    <x v="0"/>
    <n v="0.53"/>
    <n v="238"/>
    <n v="0.95"/>
    <x v="24"/>
    <n v="65"/>
  </r>
  <r>
    <x v="35"/>
    <x v="21"/>
    <x v="9"/>
    <x v="0"/>
    <n v="0.79"/>
    <n v="235"/>
    <n v="0.72"/>
    <x v="25"/>
    <n v="73"/>
  </r>
  <r>
    <x v="36"/>
    <x v="21"/>
    <x v="9"/>
    <x v="0"/>
    <n v="0.31"/>
    <n v="251"/>
    <n v="0.75"/>
    <x v="26"/>
    <n v="57"/>
  </r>
  <r>
    <x v="37"/>
    <x v="22"/>
    <x v="0"/>
    <x v="0"/>
    <n v="0.72"/>
    <n v="202"/>
    <n v="0.61"/>
    <x v="27"/>
    <n v="71"/>
  </r>
  <r>
    <x v="38"/>
    <x v="23"/>
    <x v="0"/>
    <x v="0"/>
    <n v="0.61"/>
    <n v="203"/>
    <n v="0.9"/>
    <x v="28"/>
    <n v="64"/>
  </r>
  <r>
    <x v="39"/>
    <x v="24"/>
    <x v="10"/>
    <x v="0"/>
    <n v="0.8"/>
    <n v="193"/>
    <n v="0.87"/>
    <x v="29"/>
    <n v="56"/>
  </r>
  <r>
    <x v="40"/>
    <x v="25"/>
    <x v="11"/>
    <x v="0"/>
    <n v="0.45"/>
    <n v="329"/>
    <n v="0.86"/>
    <x v="30"/>
    <n v="49"/>
  </r>
  <r>
    <x v="41"/>
    <x v="26"/>
    <x v="0"/>
    <x v="0"/>
    <n v="0.75"/>
    <n v="203"/>
    <n v="0.78"/>
    <x v="12"/>
    <n v="77"/>
  </r>
  <r>
    <x v="42"/>
    <x v="26"/>
    <x v="0"/>
    <x v="0"/>
    <n v="0.67"/>
    <n v="186"/>
    <n v="0.9"/>
    <x v="20"/>
    <n v="33"/>
  </r>
  <r>
    <x v="43"/>
    <x v="27"/>
    <x v="0"/>
    <x v="0"/>
    <n v="0.82"/>
    <n v="308"/>
    <n v="0.81"/>
    <x v="17"/>
    <n v="70"/>
  </r>
  <r>
    <x v="44"/>
    <x v="27"/>
    <x v="0"/>
    <x v="0"/>
    <n v="0.8"/>
    <n v="284"/>
    <n v="0.63"/>
    <x v="13"/>
    <n v="68"/>
  </r>
  <r>
    <x v="45"/>
    <x v="27"/>
    <x v="0"/>
    <x v="0"/>
    <n v="0.6"/>
    <n v="258"/>
    <n v="0.52"/>
    <x v="31"/>
    <n v="62"/>
  </r>
  <r>
    <x v="46"/>
    <x v="27"/>
    <x v="0"/>
    <x v="0"/>
    <n v="0.72"/>
    <n v="269"/>
    <n v="0.91"/>
    <x v="16"/>
    <n v="59"/>
  </r>
  <r>
    <x v="47"/>
    <x v="28"/>
    <x v="0"/>
    <x v="0"/>
    <n v="0.64"/>
    <n v="220"/>
    <n v="0.95"/>
    <x v="32"/>
    <n v="52"/>
  </r>
  <r>
    <x v="48"/>
    <x v="29"/>
    <x v="12"/>
    <x v="0"/>
    <n v="0.67"/>
    <n v="217"/>
    <n v="0.89"/>
    <x v="33"/>
    <n v="83"/>
  </r>
  <r>
    <x v="49"/>
    <x v="30"/>
    <x v="11"/>
    <x v="0"/>
    <n v="0.78"/>
    <n v="269"/>
    <n v="0.75"/>
    <x v="13"/>
    <n v="72"/>
  </r>
  <r>
    <x v="50"/>
    <x v="30"/>
    <x v="11"/>
    <x v="0"/>
    <n v="0.66"/>
    <n v="221"/>
    <n v="0.86"/>
    <x v="12"/>
    <n v="52"/>
  </r>
  <r>
    <x v="51"/>
    <x v="31"/>
    <x v="13"/>
    <x v="1"/>
    <n v="0.56000000000000005"/>
    <n v="285"/>
    <n v="0.33"/>
    <x v="6"/>
    <n v="80"/>
  </r>
  <r>
    <x v="52"/>
    <x v="31"/>
    <x v="13"/>
    <x v="1"/>
    <n v="0.73"/>
    <n v="228"/>
    <n v="0.76"/>
    <x v="34"/>
    <n v="76"/>
  </r>
  <r>
    <x v="53"/>
    <x v="32"/>
    <x v="6"/>
    <x v="1"/>
    <n v="0.57999999999999996"/>
    <n v="221"/>
    <n v="0.93"/>
    <x v="10"/>
    <n v="74"/>
  </r>
  <r>
    <x v="54"/>
    <x v="33"/>
    <x v="0"/>
    <x v="1"/>
    <n v="0.65"/>
    <n v="267"/>
    <n v="0.75"/>
    <x v="35"/>
    <n v="76"/>
  </r>
  <r>
    <x v="55"/>
    <x v="33"/>
    <x v="0"/>
    <x v="1"/>
    <n v="0.73"/>
    <n v="236"/>
    <n v="0.9"/>
    <x v="36"/>
    <n v="76"/>
  </r>
  <r>
    <x v="56"/>
    <x v="33"/>
    <x v="0"/>
    <x v="1"/>
    <n v="0.55000000000000004"/>
    <n v="254"/>
    <n v="0.65"/>
    <x v="21"/>
    <n v="73"/>
  </r>
  <r>
    <x v="57"/>
    <x v="33"/>
    <x v="0"/>
    <x v="1"/>
    <n v="0.3"/>
    <n v="274"/>
    <n v="0.38"/>
    <x v="37"/>
    <n v="60"/>
  </r>
  <r>
    <x v="58"/>
    <x v="3"/>
    <x v="0"/>
    <x v="1"/>
    <n v="0.69"/>
    <n v="238"/>
    <n v="0.71"/>
    <x v="38"/>
    <n v="65"/>
  </r>
  <r>
    <x v="59"/>
    <x v="3"/>
    <x v="0"/>
    <x v="1"/>
    <n v="0.7"/>
    <n v="210"/>
    <n v="0.55000000000000004"/>
    <x v="13"/>
    <n v="64"/>
  </r>
  <r>
    <x v="60"/>
    <x v="3"/>
    <x v="0"/>
    <x v="1"/>
    <n v="0.65"/>
    <n v="229"/>
    <n v="0.72"/>
    <x v="28"/>
    <n v="59"/>
  </r>
  <r>
    <x v="7"/>
    <x v="4"/>
    <x v="3"/>
    <x v="1"/>
    <n v="0.64"/>
    <n v="221"/>
    <n v="0.84"/>
    <x v="7"/>
    <n v="78"/>
  </r>
  <r>
    <x v="61"/>
    <x v="4"/>
    <x v="3"/>
    <x v="1"/>
    <n v="0.71"/>
    <n v="223"/>
    <n v="0.56000000000000005"/>
    <x v="39"/>
    <n v="75"/>
  </r>
  <r>
    <x v="8"/>
    <x v="4"/>
    <x v="3"/>
    <x v="1"/>
    <n v="0.62"/>
    <n v="230"/>
    <n v="0.83"/>
    <x v="8"/>
    <n v="73"/>
  </r>
  <r>
    <x v="62"/>
    <x v="34"/>
    <x v="0"/>
    <x v="1"/>
    <n v="0.71"/>
    <n v="242"/>
    <n v="0.88"/>
    <x v="13"/>
    <n v="69"/>
  </r>
  <r>
    <x v="63"/>
    <x v="35"/>
    <x v="0"/>
    <x v="1"/>
    <n v="0.42"/>
    <n v="285"/>
    <n v="0.41"/>
    <x v="40"/>
    <n v="81"/>
  </r>
  <r>
    <x v="64"/>
    <x v="35"/>
    <x v="0"/>
    <x v="1"/>
    <n v="0.35"/>
    <n v="247"/>
    <n v="0.35"/>
    <x v="41"/>
    <n v="50"/>
  </r>
  <r>
    <x v="65"/>
    <x v="6"/>
    <x v="0"/>
    <x v="1"/>
    <n v="0.61"/>
    <n v="208"/>
    <n v="0.61"/>
    <x v="17"/>
    <n v="68"/>
  </r>
  <r>
    <x v="66"/>
    <x v="8"/>
    <x v="0"/>
    <x v="1"/>
    <n v="0.65"/>
    <n v="232"/>
    <n v="0.89"/>
    <x v="25"/>
    <n v="63"/>
  </r>
  <r>
    <x v="67"/>
    <x v="36"/>
    <x v="0"/>
    <x v="1"/>
    <n v="0.69"/>
    <n v="200"/>
    <n v="0.78"/>
    <x v="42"/>
    <n v="75"/>
  </r>
  <r>
    <x v="68"/>
    <x v="37"/>
    <x v="0"/>
    <x v="1"/>
    <n v="0.73"/>
    <n v="285"/>
    <n v="0.78"/>
    <x v="13"/>
    <n v="69"/>
  </r>
  <r>
    <x v="69"/>
    <x v="37"/>
    <x v="0"/>
    <x v="1"/>
    <n v="0.59"/>
    <n v="200"/>
    <n v="0.75"/>
    <x v="43"/>
    <n v="59"/>
  </r>
  <r>
    <x v="70"/>
    <x v="37"/>
    <x v="0"/>
    <x v="1"/>
    <n v="0.71"/>
    <n v="223"/>
    <n v="0.81"/>
    <x v="12"/>
    <n v="58"/>
  </r>
  <r>
    <x v="71"/>
    <x v="37"/>
    <x v="0"/>
    <x v="1"/>
    <n v="0.73"/>
    <n v="201"/>
    <n v="0.88"/>
    <x v="15"/>
    <n v="31"/>
  </r>
  <r>
    <x v="72"/>
    <x v="38"/>
    <x v="1"/>
    <x v="1"/>
    <n v="0.64"/>
    <n v="223"/>
    <n v="0.83"/>
    <x v="44"/>
    <n v="72"/>
  </r>
  <r>
    <x v="73"/>
    <x v="39"/>
    <x v="14"/>
    <x v="1"/>
    <n v="0.63"/>
    <n v="379"/>
    <n v="0.69"/>
    <x v="16"/>
    <n v="73"/>
  </r>
  <r>
    <x v="74"/>
    <x v="13"/>
    <x v="0"/>
    <x v="1"/>
    <n v="0.62"/>
    <n v="230"/>
    <n v="0.87"/>
    <x v="45"/>
    <n v="66"/>
  </r>
  <r>
    <x v="75"/>
    <x v="13"/>
    <x v="0"/>
    <x v="1"/>
    <n v="0.65"/>
    <n v="231"/>
    <n v="0.81"/>
    <x v="25"/>
    <n v="27"/>
  </r>
  <r>
    <x v="76"/>
    <x v="13"/>
    <x v="0"/>
    <x v="1"/>
    <n v="0.64"/>
    <n v="228"/>
    <n v="0.83"/>
    <x v="46"/>
    <n v="25"/>
  </r>
  <r>
    <x v="77"/>
    <x v="14"/>
    <x v="0"/>
    <x v="1"/>
    <n v="0.74"/>
    <n v="205"/>
    <n v="0.82"/>
    <x v="12"/>
    <n v="72"/>
  </r>
  <r>
    <x v="78"/>
    <x v="14"/>
    <x v="0"/>
    <x v="1"/>
    <n v="0.75"/>
    <n v="220"/>
    <n v="0.73"/>
    <x v="12"/>
    <n v="64"/>
  </r>
  <r>
    <x v="79"/>
    <x v="15"/>
    <x v="0"/>
    <x v="1"/>
    <n v="0.59"/>
    <n v="260"/>
    <n v="0.83"/>
    <x v="46"/>
    <n v="73"/>
  </r>
  <r>
    <x v="80"/>
    <x v="15"/>
    <x v="0"/>
    <x v="1"/>
    <n v="0.57999999999999996"/>
    <n v="321"/>
    <n v="0.77"/>
    <x v="17"/>
    <n v="67"/>
  </r>
  <r>
    <x v="81"/>
    <x v="15"/>
    <x v="0"/>
    <x v="1"/>
    <n v="0.52"/>
    <n v="307"/>
    <n v="0.7"/>
    <x v="36"/>
    <n v="64"/>
  </r>
  <r>
    <x v="82"/>
    <x v="15"/>
    <x v="0"/>
    <x v="1"/>
    <n v="0.66"/>
    <n v="249"/>
    <n v="0.93"/>
    <x v="2"/>
    <n v="63"/>
  </r>
  <r>
    <x v="83"/>
    <x v="15"/>
    <x v="0"/>
    <x v="1"/>
    <n v="0.61"/>
    <n v="265"/>
    <n v="0.88"/>
    <x v="2"/>
    <n v="61"/>
  </r>
  <r>
    <x v="84"/>
    <x v="40"/>
    <x v="0"/>
    <x v="1"/>
    <n v="0.75"/>
    <n v="262"/>
    <n v="0.74"/>
    <x v="13"/>
    <n v="72"/>
  </r>
  <r>
    <x v="85"/>
    <x v="40"/>
    <x v="0"/>
    <x v="1"/>
    <n v="0.71"/>
    <n v="199"/>
    <n v="0.86"/>
    <x v="13"/>
    <n v="67"/>
  </r>
  <r>
    <x v="86"/>
    <x v="16"/>
    <x v="3"/>
    <x v="1"/>
    <n v="0.72"/>
    <n v="201"/>
    <n v="0.76"/>
    <x v="17"/>
    <n v="76"/>
  </r>
  <r>
    <x v="87"/>
    <x v="18"/>
    <x v="0"/>
    <x v="1"/>
    <n v="0.7"/>
    <n v="197"/>
    <n v="0.88"/>
    <x v="12"/>
    <n v="63"/>
  </r>
  <r>
    <x v="88"/>
    <x v="41"/>
    <x v="0"/>
    <x v="1"/>
    <n v="0.77"/>
    <n v="201"/>
    <n v="0.74"/>
    <x v="36"/>
    <n v="38"/>
  </r>
  <r>
    <x v="89"/>
    <x v="41"/>
    <x v="0"/>
    <x v="1"/>
    <n v="0.5"/>
    <n v="279"/>
    <n v="0.88"/>
    <x v="13"/>
    <n v="28"/>
  </r>
  <r>
    <x v="90"/>
    <x v="41"/>
    <x v="0"/>
    <x v="1"/>
    <n v="0.8"/>
    <n v="227"/>
    <n v="0.72"/>
    <x v="47"/>
    <n v="7"/>
  </r>
  <r>
    <x v="91"/>
    <x v="20"/>
    <x v="0"/>
    <x v="1"/>
    <n v="0.63"/>
    <n v="253"/>
    <n v="0.69"/>
    <x v="48"/>
    <n v="72"/>
  </r>
  <r>
    <x v="92"/>
    <x v="42"/>
    <x v="0"/>
    <x v="1"/>
    <n v="0.68"/>
    <n v="208"/>
    <n v="0.64"/>
    <x v="20"/>
    <n v="38"/>
  </r>
  <r>
    <x v="93"/>
    <x v="43"/>
    <x v="0"/>
    <x v="1"/>
    <n v="0.67"/>
    <n v="252"/>
    <n v="0.94"/>
    <x v="15"/>
    <n v="79"/>
  </r>
  <r>
    <x v="94"/>
    <x v="21"/>
    <x v="9"/>
    <x v="1"/>
    <n v="0.69"/>
    <n v="263"/>
    <n v="0.79"/>
    <x v="42"/>
    <n v="69"/>
  </r>
  <r>
    <x v="95"/>
    <x v="21"/>
    <x v="9"/>
    <x v="1"/>
    <n v="0.73"/>
    <n v="215"/>
    <n v="0.77"/>
    <x v="17"/>
    <n v="61"/>
  </r>
  <r>
    <x v="96"/>
    <x v="21"/>
    <x v="9"/>
    <x v="1"/>
    <n v="0.57999999999999996"/>
    <n v="262"/>
    <n v="0.91"/>
    <x v="30"/>
    <n v="58"/>
  </r>
  <r>
    <x v="97"/>
    <x v="21"/>
    <x v="9"/>
    <x v="1"/>
    <n v="0.82"/>
    <n v="257"/>
    <n v="0.81"/>
    <x v="17"/>
    <n v="54"/>
  </r>
  <r>
    <x v="98"/>
    <x v="44"/>
    <x v="15"/>
    <x v="1"/>
    <n v="0.3"/>
    <n v="255"/>
    <n v="0.38"/>
    <x v="16"/>
    <n v="46"/>
  </r>
  <r>
    <x v="40"/>
    <x v="25"/>
    <x v="11"/>
    <x v="1"/>
    <n v="0.45"/>
    <n v="329"/>
    <n v="0.86"/>
    <x v="30"/>
    <n v="49"/>
  </r>
  <r>
    <x v="99"/>
    <x v="27"/>
    <x v="0"/>
    <x v="1"/>
    <n v="0.66"/>
    <n v="219"/>
    <n v="0.63"/>
    <x v="35"/>
    <n v="71"/>
  </r>
  <r>
    <x v="47"/>
    <x v="28"/>
    <x v="0"/>
    <x v="1"/>
    <n v="0.64"/>
    <n v="220"/>
    <n v="0.95"/>
    <x v="32"/>
    <n v="52"/>
  </r>
  <r>
    <x v="100"/>
    <x v="31"/>
    <x v="13"/>
    <x v="2"/>
    <n v="0.61"/>
    <n v="242"/>
    <n v="0.68"/>
    <x v="49"/>
    <n v="76"/>
  </r>
  <r>
    <x v="101"/>
    <x v="4"/>
    <x v="3"/>
    <x v="2"/>
    <n v="0.73"/>
    <n v="233"/>
    <n v="0.7"/>
    <x v="50"/>
    <n v="79"/>
  </r>
  <r>
    <x v="102"/>
    <x v="4"/>
    <x v="3"/>
    <x v="2"/>
    <n v="0.57999999999999996"/>
    <n v="258"/>
    <n v="0.84"/>
    <x v="10"/>
    <n v="38"/>
  </r>
  <r>
    <x v="103"/>
    <x v="45"/>
    <x v="6"/>
    <x v="2"/>
    <n v="0.78"/>
    <n v="193"/>
    <n v="0.57999999999999996"/>
    <x v="12"/>
    <n v="76"/>
  </r>
  <r>
    <x v="104"/>
    <x v="34"/>
    <x v="0"/>
    <x v="2"/>
    <n v="0.59"/>
    <n v="228"/>
    <n v="0.84"/>
    <x v="13"/>
    <n v="65"/>
  </r>
  <r>
    <x v="105"/>
    <x v="46"/>
    <x v="16"/>
    <x v="2"/>
    <n v="0.45"/>
    <n v="279"/>
    <n v="0.59"/>
    <x v="51"/>
    <n v="79"/>
  </r>
  <r>
    <x v="106"/>
    <x v="6"/>
    <x v="0"/>
    <x v="2"/>
    <n v="0.6"/>
    <n v="245"/>
    <n v="0.79"/>
    <x v="25"/>
    <n v="80"/>
  </r>
  <r>
    <x v="107"/>
    <x v="47"/>
    <x v="0"/>
    <x v="2"/>
    <n v="0.68"/>
    <n v="211"/>
    <n v="0.8"/>
    <x v="12"/>
    <n v="65"/>
  </r>
  <r>
    <x v="108"/>
    <x v="48"/>
    <x v="17"/>
    <x v="2"/>
    <n v="0.67"/>
    <n v="277"/>
    <n v="0.74"/>
    <x v="49"/>
    <n v="72"/>
  </r>
  <r>
    <x v="109"/>
    <x v="48"/>
    <x v="17"/>
    <x v="2"/>
    <n v="0.38"/>
    <n v="251"/>
    <n v="0.64"/>
    <x v="52"/>
    <n v="63"/>
  </r>
  <r>
    <x v="110"/>
    <x v="49"/>
    <x v="0"/>
    <x v="2"/>
    <n v="0.65"/>
    <n v="211"/>
    <n v="0.8"/>
    <x v="53"/>
    <n v="54"/>
  </r>
  <r>
    <x v="111"/>
    <x v="37"/>
    <x v="0"/>
    <x v="2"/>
    <n v="0.79"/>
    <n v="237"/>
    <n v="0.86"/>
    <x v="17"/>
    <n v="66"/>
  </r>
  <r>
    <x v="112"/>
    <x v="38"/>
    <x v="1"/>
    <x v="2"/>
    <n v="0.76"/>
    <n v="232"/>
    <n v="0.55000000000000004"/>
    <x v="36"/>
    <n v="69"/>
  </r>
  <r>
    <x v="113"/>
    <x v="12"/>
    <x v="6"/>
    <x v="2"/>
    <n v="0.6"/>
    <n v="228"/>
    <n v="0.84"/>
    <x v="17"/>
    <n v="72"/>
  </r>
  <r>
    <x v="114"/>
    <x v="12"/>
    <x v="6"/>
    <x v="2"/>
    <n v="0.72"/>
    <n v="171"/>
    <n v="0.55000000000000004"/>
    <x v="33"/>
    <n v="71"/>
  </r>
  <r>
    <x v="115"/>
    <x v="13"/>
    <x v="0"/>
    <x v="2"/>
    <n v="0.68"/>
    <n v="216"/>
    <n v="0.92"/>
    <x v="13"/>
    <n v="71"/>
  </r>
  <r>
    <x v="116"/>
    <x v="13"/>
    <x v="0"/>
    <x v="2"/>
    <n v="0.51"/>
    <n v="221"/>
    <n v="0.68"/>
    <x v="54"/>
    <n v="68"/>
  </r>
  <r>
    <x v="117"/>
    <x v="13"/>
    <x v="0"/>
    <x v="2"/>
    <n v="0.69"/>
    <n v="227"/>
    <n v="0.8"/>
    <x v="55"/>
    <n v="67"/>
  </r>
  <r>
    <x v="118"/>
    <x v="50"/>
    <x v="0"/>
    <x v="2"/>
    <n v="0.56000000000000005"/>
    <n v="222"/>
    <n v="0.94"/>
    <x v="56"/>
    <n v="74"/>
  </r>
  <r>
    <x v="119"/>
    <x v="16"/>
    <x v="3"/>
    <x v="2"/>
    <n v="0.74"/>
    <n v="231"/>
    <n v="0.75"/>
    <x v="39"/>
    <n v="79"/>
  </r>
  <r>
    <x v="120"/>
    <x v="16"/>
    <x v="3"/>
    <x v="2"/>
    <n v="0.72"/>
    <n v="220"/>
    <n v="0.82"/>
    <x v="3"/>
    <n v="73"/>
  </r>
  <r>
    <x v="121"/>
    <x v="41"/>
    <x v="0"/>
    <x v="2"/>
    <n v="0.75"/>
    <n v="211"/>
    <n v="0.72"/>
    <x v="16"/>
    <n v="73"/>
  </r>
  <r>
    <x v="122"/>
    <x v="51"/>
    <x v="18"/>
    <x v="2"/>
    <n v="0.73"/>
    <n v="200"/>
    <n v="0.79"/>
    <x v="16"/>
    <n v="78"/>
  </r>
  <r>
    <x v="123"/>
    <x v="52"/>
    <x v="3"/>
    <x v="2"/>
    <n v="0.56000000000000005"/>
    <n v="206"/>
    <n v="0.87"/>
    <x v="25"/>
    <n v="73"/>
  </r>
  <r>
    <x v="124"/>
    <x v="42"/>
    <x v="0"/>
    <x v="2"/>
    <n v="0.67"/>
    <n v="248"/>
    <n v="0.63"/>
    <x v="5"/>
    <n v="74"/>
  </r>
  <r>
    <x v="125"/>
    <x v="42"/>
    <x v="0"/>
    <x v="2"/>
    <n v="0.6"/>
    <n v="256"/>
    <n v="0.92"/>
    <x v="57"/>
    <n v="0"/>
  </r>
  <r>
    <x v="126"/>
    <x v="43"/>
    <x v="0"/>
    <x v="2"/>
    <n v="0.67"/>
    <n v="227"/>
    <n v="0.86"/>
    <x v="12"/>
    <n v="72"/>
  </r>
  <r>
    <x v="127"/>
    <x v="43"/>
    <x v="0"/>
    <x v="2"/>
    <n v="0.72"/>
    <n v="206"/>
    <n v="0.96"/>
    <x v="36"/>
    <n v="59"/>
  </r>
  <r>
    <x v="128"/>
    <x v="21"/>
    <x v="9"/>
    <x v="2"/>
    <n v="0.72"/>
    <n v="243"/>
    <n v="0.85"/>
    <x v="17"/>
    <n v="68"/>
  </r>
  <r>
    <x v="129"/>
    <x v="21"/>
    <x v="9"/>
    <x v="2"/>
    <n v="0.56000000000000005"/>
    <n v="225"/>
    <n v="0.71"/>
    <x v="31"/>
    <n v="61"/>
  </r>
  <r>
    <x v="130"/>
    <x v="21"/>
    <x v="9"/>
    <x v="2"/>
    <n v="0.7"/>
    <n v="200"/>
    <n v="0.72"/>
    <x v="36"/>
    <n v="57"/>
  </r>
  <r>
    <x v="131"/>
    <x v="23"/>
    <x v="0"/>
    <x v="2"/>
    <n v="0.86"/>
    <n v="188"/>
    <n v="0.68"/>
    <x v="58"/>
    <n v="76"/>
  </r>
  <r>
    <x v="132"/>
    <x v="53"/>
    <x v="3"/>
    <x v="2"/>
    <n v="0.62"/>
    <n v="220"/>
    <n v="0.47"/>
    <x v="59"/>
    <n v="77"/>
  </r>
  <r>
    <x v="133"/>
    <x v="53"/>
    <x v="3"/>
    <x v="2"/>
    <n v="0.63"/>
    <n v="193"/>
    <n v="0.68"/>
    <x v="60"/>
    <n v="75"/>
  </r>
  <r>
    <x v="134"/>
    <x v="54"/>
    <x v="18"/>
    <x v="2"/>
    <n v="0.72"/>
    <n v="198"/>
    <n v="0.85"/>
    <x v="36"/>
    <n v="72"/>
  </r>
  <r>
    <x v="135"/>
    <x v="2"/>
    <x v="2"/>
    <x v="3"/>
    <n v="0.55000000000000004"/>
    <n v="271"/>
    <n v="0.81"/>
    <x v="3"/>
    <n v="59"/>
  </r>
  <r>
    <x v="136"/>
    <x v="55"/>
    <x v="0"/>
    <x v="3"/>
    <n v="0.65"/>
    <n v="227"/>
    <n v="0.88"/>
    <x v="61"/>
    <n v="68"/>
  </r>
  <r>
    <x v="137"/>
    <x v="56"/>
    <x v="0"/>
    <x v="3"/>
    <n v="0.63"/>
    <n v="203"/>
    <n v="0.78"/>
    <x v="42"/>
    <n v="54"/>
  </r>
  <r>
    <x v="138"/>
    <x v="57"/>
    <x v="7"/>
    <x v="3"/>
    <n v="0.53"/>
    <n v="247"/>
    <n v="0.78"/>
    <x v="46"/>
    <n v="85"/>
  </r>
  <r>
    <x v="139"/>
    <x v="32"/>
    <x v="6"/>
    <x v="3"/>
    <n v="0.47"/>
    <n v="207"/>
    <n v="0.96"/>
    <x v="52"/>
    <n v="61"/>
  </r>
  <r>
    <x v="140"/>
    <x v="3"/>
    <x v="0"/>
    <x v="3"/>
    <n v="0.63"/>
    <n v="248"/>
    <n v="0.82"/>
    <x v="17"/>
    <n v="71"/>
  </r>
  <r>
    <x v="141"/>
    <x v="3"/>
    <x v="0"/>
    <x v="3"/>
    <n v="0.69"/>
    <n v="257"/>
    <n v="0.56999999999999995"/>
    <x v="17"/>
    <n v="45"/>
  </r>
  <r>
    <x v="142"/>
    <x v="58"/>
    <x v="0"/>
    <x v="3"/>
    <n v="0.54"/>
    <n v="184"/>
    <n v="0.92"/>
    <x v="25"/>
    <n v="74"/>
  </r>
  <r>
    <x v="143"/>
    <x v="58"/>
    <x v="0"/>
    <x v="3"/>
    <n v="0.56999999999999995"/>
    <n v="213"/>
    <n v="0.93"/>
    <x v="17"/>
    <n v="72"/>
  </r>
  <r>
    <x v="144"/>
    <x v="59"/>
    <x v="0"/>
    <x v="3"/>
    <n v="0.77"/>
    <n v="227"/>
    <n v="0.7"/>
    <x v="62"/>
    <n v="43"/>
  </r>
  <r>
    <x v="145"/>
    <x v="46"/>
    <x v="16"/>
    <x v="3"/>
    <n v="0.28000000000000003"/>
    <n v="236"/>
    <n v="0.45"/>
    <x v="63"/>
    <n v="55"/>
  </r>
  <r>
    <x v="146"/>
    <x v="60"/>
    <x v="19"/>
    <x v="3"/>
    <n v="0.79"/>
    <n v="248"/>
    <n v="0.81"/>
    <x v="56"/>
    <n v="77"/>
  </r>
  <r>
    <x v="147"/>
    <x v="60"/>
    <x v="19"/>
    <x v="3"/>
    <n v="0.83"/>
    <n v="354"/>
    <n v="0.66"/>
    <x v="42"/>
    <n v="72"/>
  </r>
  <r>
    <x v="148"/>
    <x v="6"/>
    <x v="0"/>
    <x v="3"/>
    <n v="0.72"/>
    <n v="209"/>
    <n v="0.87"/>
    <x v="13"/>
    <n v="67"/>
  </r>
  <r>
    <x v="149"/>
    <x v="61"/>
    <x v="0"/>
    <x v="3"/>
    <n v="0.5"/>
    <n v="211"/>
    <n v="0.79"/>
    <x v="64"/>
    <n v="76"/>
  </r>
  <r>
    <x v="150"/>
    <x v="61"/>
    <x v="0"/>
    <x v="3"/>
    <n v="0.57999999999999996"/>
    <n v="196"/>
    <n v="0.86"/>
    <x v="14"/>
    <n v="60"/>
  </r>
  <r>
    <x v="151"/>
    <x v="62"/>
    <x v="20"/>
    <x v="3"/>
    <n v="0.77"/>
    <n v="228"/>
    <n v="0.41"/>
    <x v="42"/>
    <n v="73"/>
  </r>
  <r>
    <x v="152"/>
    <x v="47"/>
    <x v="0"/>
    <x v="3"/>
    <n v="0.7"/>
    <n v="286"/>
    <n v="0.78"/>
    <x v="22"/>
    <n v="52"/>
  </r>
  <r>
    <x v="153"/>
    <x v="63"/>
    <x v="0"/>
    <x v="3"/>
    <n v="0.45"/>
    <n v="221"/>
    <n v="0.23"/>
    <x v="13"/>
    <n v="60"/>
  </r>
  <r>
    <x v="154"/>
    <x v="63"/>
    <x v="0"/>
    <x v="3"/>
    <n v="0.67"/>
    <n v="197"/>
    <n v="0.8"/>
    <x v="48"/>
    <n v="60"/>
  </r>
  <r>
    <x v="155"/>
    <x v="8"/>
    <x v="0"/>
    <x v="3"/>
    <n v="0.62"/>
    <n v="221"/>
    <n v="0.88"/>
    <x v="17"/>
    <n v="52"/>
  </r>
  <r>
    <x v="156"/>
    <x v="64"/>
    <x v="0"/>
    <x v="3"/>
    <n v="0.76"/>
    <n v="241"/>
    <n v="0.62"/>
    <x v="13"/>
    <n v="65"/>
  </r>
  <r>
    <x v="157"/>
    <x v="65"/>
    <x v="21"/>
    <x v="3"/>
    <n v="0.71"/>
    <n v="157"/>
    <n v="0.91"/>
    <x v="25"/>
    <n v="67"/>
  </r>
  <r>
    <x v="158"/>
    <x v="66"/>
    <x v="3"/>
    <x v="3"/>
    <n v="0.38"/>
    <n v="209"/>
    <n v="0.7"/>
    <x v="65"/>
    <n v="77"/>
  </r>
  <r>
    <x v="159"/>
    <x v="37"/>
    <x v="0"/>
    <x v="3"/>
    <n v="0.69"/>
    <n v="244"/>
    <n v="0.73"/>
    <x v="17"/>
    <n v="57"/>
  </r>
  <r>
    <x v="160"/>
    <x v="67"/>
    <x v="22"/>
    <x v="3"/>
    <n v="0.51"/>
    <n v="250"/>
    <n v="0.34"/>
    <x v="38"/>
    <n v="36"/>
  </r>
  <r>
    <x v="161"/>
    <x v="68"/>
    <x v="18"/>
    <x v="3"/>
    <n v="0.68"/>
    <n v="198"/>
    <n v="0.98"/>
    <x v="23"/>
    <n v="52"/>
  </r>
  <r>
    <x v="162"/>
    <x v="12"/>
    <x v="6"/>
    <x v="3"/>
    <n v="0.56000000000000005"/>
    <n v="263"/>
    <n v="0.52"/>
    <x v="34"/>
    <n v="61"/>
  </r>
  <r>
    <x v="163"/>
    <x v="69"/>
    <x v="0"/>
    <x v="3"/>
    <n v="0.8"/>
    <n v="326"/>
    <n v="0.6"/>
    <x v="66"/>
    <n v="68"/>
  </r>
  <r>
    <x v="164"/>
    <x v="69"/>
    <x v="0"/>
    <x v="3"/>
    <n v="0.57999999999999996"/>
    <n v="277"/>
    <n v="0.6"/>
    <x v="59"/>
    <n v="60"/>
  </r>
  <r>
    <x v="165"/>
    <x v="69"/>
    <x v="0"/>
    <x v="3"/>
    <n v="0.61"/>
    <n v="424"/>
    <n v="0.68"/>
    <x v="0"/>
    <n v="58"/>
  </r>
  <r>
    <x v="166"/>
    <x v="69"/>
    <x v="0"/>
    <x v="3"/>
    <n v="0.59"/>
    <n v="353"/>
    <n v="0.66"/>
    <x v="62"/>
    <n v="54"/>
  </r>
  <r>
    <x v="167"/>
    <x v="13"/>
    <x v="0"/>
    <x v="3"/>
    <n v="0.55000000000000004"/>
    <n v="224"/>
    <n v="0.77"/>
    <x v="67"/>
    <n v="78"/>
  </r>
  <r>
    <x v="168"/>
    <x v="50"/>
    <x v="0"/>
    <x v="3"/>
    <n v="0.51"/>
    <n v="230"/>
    <n v="0.81"/>
    <x v="54"/>
    <n v="88"/>
  </r>
  <r>
    <x v="169"/>
    <x v="50"/>
    <x v="0"/>
    <x v="3"/>
    <n v="0.6"/>
    <n v="259"/>
    <n v="0.79"/>
    <x v="17"/>
    <n v="45"/>
  </r>
  <r>
    <x v="170"/>
    <x v="70"/>
    <x v="11"/>
    <x v="3"/>
    <n v="0.65"/>
    <n v="274"/>
    <n v="0.78"/>
    <x v="5"/>
    <n v="28"/>
  </r>
  <r>
    <x v="171"/>
    <x v="14"/>
    <x v="0"/>
    <x v="3"/>
    <n v="0.71"/>
    <n v="212"/>
    <n v="0.7"/>
    <x v="17"/>
    <n v="75"/>
  </r>
  <r>
    <x v="172"/>
    <x v="14"/>
    <x v="0"/>
    <x v="3"/>
    <n v="0.72"/>
    <n v="229"/>
    <n v="0.75"/>
    <x v="17"/>
    <n v="46"/>
  </r>
  <r>
    <x v="173"/>
    <x v="71"/>
    <x v="3"/>
    <x v="3"/>
    <n v="0.56000000000000005"/>
    <n v="272"/>
    <n v="0.52"/>
    <x v="43"/>
    <n v="70"/>
  </r>
  <r>
    <x v="174"/>
    <x v="15"/>
    <x v="0"/>
    <x v="3"/>
    <n v="0.67"/>
    <n v="212"/>
    <n v="0.78"/>
    <x v="51"/>
    <n v="52"/>
  </r>
  <r>
    <x v="175"/>
    <x v="72"/>
    <x v="5"/>
    <x v="3"/>
    <n v="0.56999999999999995"/>
    <n v="215"/>
    <n v="0.81"/>
    <x v="25"/>
    <n v="74"/>
  </r>
  <r>
    <x v="176"/>
    <x v="73"/>
    <x v="0"/>
    <x v="3"/>
    <n v="0.85"/>
    <n v="224"/>
    <n v="0.74"/>
    <x v="27"/>
    <n v="63"/>
  </r>
  <r>
    <x v="177"/>
    <x v="73"/>
    <x v="0"/>
    <x v="3"/>
    <n v="0.36"/>
    <n v="211"/>
    <n v="0.95"/>
    <x v="68"/>
    <n v="50"/>
  </r>
  <r>
    <x v="178"/>
    <x v="74"/>
    <x v="0"/>
    <x v="3"/>
    <n v="0.63"/>
    <n v="258"/>
    <n v="0.93"/>
    <x v="24"/>
    <n v="70"/>
  </r>
  <r>
    <x v="179"/>
    <x v="74"/>
    <x v="0"/>
    <x v="3"/>
    <n v="0.78"/>
    <n v="236"/>
    <n v="0.53"/>
    <x v="48"/>
    <n v="69"/>
  </r>
  <r>
    <x v="180"/>
    <x v="75"/>
    <x v="0"/>
    <x v="3"/>
    <n v="0.68"/>
    <n v="200"/>
    <n v="0.76"/>
    <x v="62"/>
    <n v="51"/>
  </r>
  <r>
    <x v="181"/>
    <x v="16"/>
    <x v="3"/>
    <x v="3"/>
    <n v="0.66"/>
    <n v="225"/>
    <n v="0.67"/>
    <x v="12"/>
    <n v="66"/>
  </r>
  <r>
    <x v="182"/>
    <x v="16"/>
    <x v="3"/>
    <x v="3"/>
    <n v="0.68"/>
    <n v="230"/>
    <n v="0.78"/>
    <x v="12"/>
    <n v="65"/>
  </r>
  <r>
    <x v="183"/>
    <x v="76"/>
    <x v="0"/>
    <x v="3"/>
    <n v="0.61"/>
    <n v="231"/>
    <n v="0.62"/>
    <x v="30"/>
    <n v="78"/>
  </r>
  <r>
    <x v="184"/>
    <x v="76"/>
    <x v="0"/>
    <x v="3"/>
    <n v="0.53"/>
    <n v="221"/>
    <n v="0.42"/>
    <x v="12"/>
    <n v="77"/>
  </r>
  <r>
    <x v="185"/>
    <x v="19"/>
    <x v="8"/>
    <x v="3"/>
    <n v="0.47"/>
    <n v="177"/>
    <n v="0.92"/>
    <x v="69"/>
    <n v="74"/>
  </r>
  <r>
    <x v="186"/>
    <x v="77"/>
    <x v="0"/>
    <x v="3"/>
    <n v="0.66"/>
    <n v="252"/>
    <n v="0.68"/>
    <x v="16"/>
    <n v="70"/>
  </r>
  <r>
    <x v="187"/>
    <x v="51"/>
    <x v="18"/>
    <x v="3"/>
    <n v="0.6"/>
    <n v="245"/>
    <n v="0.66"/>
    <x v="27"/>
    <n v="81"/>
  </r>
  <r>
    <x v="188"/>
    <x v="51"/>
    <x v="18"/>
    <x v="3"/>
    <n v="0.65"/>
    <n v="200"/>
    <n v="0.88"/>
    <x v="70"/>
    <n v="73"/>
  </r>
  <r>
    <x v="189"/>
    <x v="51"/>
    <x v="18"/>
    <x v="3"/>
    <n v="0.63"/>
    <n v="183"/>
    <n v="0.93"/>
    <x v="53"/>
    <n v="73"/>
  </r>
  <r>
    <x v="190"/>
    <x v="20"/>
    <x v="0"/>
    <x v="3"/>
    <n v="0.52"/>
    <n v="215"/>
    <n v="0.75"/>
    <x v="25"/>
    <n v="69"/>
  </r>
  <r>
    <x v="191"/>
    <x v="42"/>
    <x v="0"/>
    <x v="3"/>
    <n v="0.78"/>
    <n v="243"/>
    <n v="0.55000000000000004"/>
    <x v="48"/>
    <n v="81"/>
  </r>
  <r>
    <x v="192"/>
    <x v="43"/>
    <x v="0"/>
    <x v="3"/>
    <n v="0.67"/>
    <n v="230"/>
    <n v="0.76"/>
    <x v="63"/>
    <n v="70"/>
  </r>
  <r>
    <x v="193"/>
    <x v="43"/>
    <x v="0"/>
    <x v="3"/>
    <n v="0.71"/>
    <n v="207"/>
    <n v="0.84"/>
    <x v="48"/>
    <n v="35"/>
  </r>
  <r>
    <x v="194"/>
    <x v="21"/>
    <x v="9"/>
    <x v="3"/>
    <n v="0.53"/>
    <n v="186"/>
    <n v="0.74"/>
    <x v="13"/>
    <n v="42"/>
  </r>
  <r>
    <x v="195"/>
    <x v="78"/>
    <x v="0"/>
    <x v="3"/>
    <n v="0.85"/>
    <n v="264"/>
    <n v="0.6"/>
    <x v="12"/>
    <n v="76"/>
  </r>
  <r>
    <x v="196"/>
    <x v="78"/>
    <x v="0"/>
    <x v="3"/>
    <n v="0.67"/>
    <n v="230"/>
    <n v="0.83"/>
    <x v="36"/>
    <n v="41"/>
  </r>
  <r>
    <x v="197"/>
    <x v="79"/>
    <x v="15"/>
    <x v="3"/>
    <n v="0.55000000000000004"/>
    <n v="221"/>
    <n v="0.84"/>
    <x v="71"/>
    <n v="71"/>
  </r>
  <r>
    <x v="198"/>
    <x v="80"/>
    <x v="0"/>
    <x v="3"/>
    <n v="0.55000000000000004"/>
    <n v="232"/>
    <n v="0.79"/>
    <x v="30"/>
    <n v="57"/>
  </r>
  <r>
    <x v="199"/>
    <x v="81"/>
    <x v="7"/>
    <x v="3"/>
    <n v="0.61"/>
    <n v="213"/>
    <n v="0.84"/>
    <x v="15"/>
    <n v="78"/>
  </r>
  <r>
    <x v="133"/>
    <x v="53"/>
    <x v="3"/>
    <x v="3"/>
    <n v="0.63"/>
    <n v="193"/>
    <n v="0.68"/>
    <x v="60"/>
    <n v="75"/>
  </r>
  <r>
    <x v="200"/>
    <x v="82"/>
    <x v="23"/>
    <x v="3"/>
    <n v="0.42"/>
    <n v="203"/>
    <n v="0.87"/>
    <x v="72"/>
    <n v="80"/>
  </r>
  <r>
    <x v="201"/>
    <x v="54"/>
    <x v="18"/>
    <x v="3"/>
    <n v="0.56000000000000005"/>
    <n v="202"/>
    <n v="0.82"/>
    <x v="25"/>
    <n v="62"/>
  </r>
  <r>
    <x v="202"/>
    <x v="54"/>
    <x v="18"/>
    <x v="3"/>
    <n v="0.55000000000000004"/>
    <n v="206"/>
    <n v="0.94"/>
    <x v="5"/>
    <n v="56"/>
  </r>
  <r>
    <x v="203"/>
    <x v="83"/>
    <x v="0"/>
    <x v="3"/>
    <n v="0.8"/>
    <n v="280"/>
    <n v="0.61"/>
    <x v="17"/>
    <n v="68"/>
  </r>
  <r>
    <x v="204"/>
    <x v="84"/>
    <x v="24"/>
    <x v="3"/>
    <n v="0.51"/>
    <n v="271"/>
    <n v="0.78"/>
    <x v="17"/>
    <n v="75"/>
  </r>
  <r>
    <x v="205"/>
    <x v="85"/>
    <x v="18"/>
    <x v="4"/>
    <n v="0.49"/>
    <n v="202"/>
    <n v="0.95"/>
    <x v="54"/>
    <n v="71"/>
  </r>
  <r>
    <x v="206"/>
    <x v="86"/>
    <x v="12"/>
    <x v="4"/>
    <n v="0.45"/>
    <n v="229"/>
    <n v="0.15"/>
    <x v="0"/>
    <n v="61"/>
  </r>
  <r>
    <x v="207"/>
    <x v="2"/>
    <x v="2"/>
    <x v="4"/>
    <n v="0.64"/>
    <n v="230"/>
    <n v="0.54"/>
    <x v="39"/>
    <n v="30"/>
  </r>
  <r>
    <x v="208"/>
    <x v="55"/>
    <x v="0"/>
    <x v="4"/>
    <n v="0.66"/>
    <n v="194"/>
    <n v="0.81"/>
    <x v="22"/>
    <n v="75"/>
  </r>
  <r>
    <x v="209"/>
    <x v="56"/>
    <x v="0"/>
    <x v="4"/>
    <n v="0.71"/>
    <n v="232"/>
    <n v="0.92"/>
    <x v="25"/>
    <n v="65"/>
  </r>
  <r>
    <x v="210"/>
    <x v="57"/>
    <x v="7"/>
    <x v="4"/>
    <n v="0.55000000000000004"/>
    <n v="255"/>
    <n v="0.78"/>
    <x v="16"/>
    <n v="78"/>
  </r>
  <r>
    <x v="211"/>
    <x v="87"/>
    <x v="25"/>
    <x v="4"/>
    <n v="0.68"/>
    <n v="214"/>
    <n v="0.72"/>
    <x v="36"/>
    <n v="73"/>
  </r>
  <r>
    <x v="212"/>
    <x v="33"/>
    <x v="0"/>
    <x v="4"/>
    <n v="0.41"/>
    <n v="319"/>
    <n v="0.44"/>
    <x v="1"/>
    <n v="65"/>
  </r>
  <r>
    <x v="213"/>
    <x v="33"/>
    <x v="0"/>
    <x v="4"/>
    <n v="0.47"/>
    <n v="216"/>
    <n v="0.79"/>
    <x v="65"/>
    <n v="56"/>
  </r>
  <r>
    <x v="214"/>
    <x v="33"/>
    <x v="0"/>
    <x v="4"/>
    <n v="0.59"/>
    <n v="323"/>
    <n v="0.62"/>
    <x v="51"/>
    <n v="52"/>
  </r>
  <r>
    <x v="215"/>
    <x v="88"/>
    <x v="12"/>
    <x v="4"/>
    <n v="0.47"/>
    <n v="252"/>
    <n v="0.71"/>
    <x v="73"/>
    <n v="62"/>
  </r>
  <r>
    <x v="216"/>
    <x v="88"/>
    <x v="12"/>
    <x v="4"/>
    <n v="0.41"/>
    <n v="190"/>
    <n v="0.14000000000000001"/>
    <x v="56"/>
    <n v="56"/>
  </r>
  <r>
    <x v="217"/>
    <x v="88"/>
    <x v="12"/>
    <x v="4"/>
    <n v="0.68"/>
    <n v="160"/>
    <n v="0.34"/>
    <x v="74"/>
    <n v="49"/>
  </r>
  <r>
    <x v="218"/>
    <x v="88"/>
    <x v="12"/>
    <x v="4"/>
    <n v="0.53"/>
    <n v="239"/>
    <n v="0.35"/>
    <x v="12"/>
    <n v="44"/>
  </r>
  <r>
    <x v="219"/>
    <x v="4"/>
    <x v="3"/>
    <x v="4"/>
    <n v="0.87"/>
    <n v="179"/>
    <n v="0.69"/>
    <x v="56"/>
    <n v="77"/>
  </r>
  <r>
    <x v="220"/>
    <x v="4"/>
    <x v="3"/>
    <x v="4"/>
    <n v="0.72"/>
    <n v="244"/>
    <n v="0.54"/>
    <x v="51"/>
    <n v="68"/>
  </r>
  <r>
    <x v="221"/>
    <x v="4"/>
    <x v="3"/>
    <x v="4"/>
    <n v="0.56000000000000005"/>
    <n v="229"/>
    <n v="0.75"/>
    <x v="25"/>
    <n v="67"/>
  </r>
  <r>
    <x v="222"/>
    <x v="58"/>
    <x v="0"/>
    <x v="4"/>
    <n v="0.6"/>
    <n v="223"/>
    <n v="0.86"/>
    <x v="17"/>
    <n v="80"/>
  </r>
  <r>
    <x v="223"/>
    <x v="89"/>
    <x v="21"/>
    <x v="4"/>
    <n v="0.68"/>
    <n v="169"/>
    <n v="0.81"/>
    <x v="31"/>
    <n v="50"/>
  </r>
  <r>
    <x v="224"/>
    <x v="35"/>
    <x v="0"/>
    <x v="4"/>
    <n v="0.44"/>
    <n v="251"/>
    <n v="0.49"/>
    <x v="50"/>
    <n v="68"/>
  </r>
  <r>
    <x v="225"/>
    <x v="46"/>
    <x v="16"/>
    <x v="4"/>
    <n v="0.55000000000000004"/>
    <n v="268"/>
    <n v="0.68"/>
    <x v="16"/>
    <n v="60"/>
  </r>
  <r>
    <x v="226"/>
    <x v="6"/>
    <x v="0"/>
    <x v="4"/>
    <n v="0.35"/>
    <n v="191"/>
    <n v="0.77"/>
    <x v="75"/>
    <n v="61"/>
  </r>
  <r>
    <x v="227"/>
    <x v="61"/>
    <x v="0"/>
    <x v="4"/>
    <n v="0.5"/>
    <n v="226"/>
    <n v="0.66"/>
    <x v="51"/>
    <n v="63"/>
  </r>
  <r>
    <x v="228"/>
    <x v="90"/>
    <x v="26"/>
    <x v="4"/>
    <n v="0.5"/>
    <n v="256"/>
    <n v="0.73"/>
    <x v="20"/>
    <n v="72"/>
  </r>
  <r>
    <x v="229"/>
    <x v="47"/>
    <x v="0"/>
    <x v="4"/>
    <n v="0.56000000000000005"/>
    <n v="231"/>
    <n v="0.78"/>
    <x v="14"/>
    <n v="71"/>
  </r>
  <r>
    <x v="156"/>
    <x v="64"/>
    <x v="0"/>
    <x v="4"/>
    <n v="0.76"/>
    <n v="241"/>
    <n v="0.62"/>
    <x v="13"/>
    <n v="65"/>
  </r>
  <r>
    <x v="230"/>
    <x v="91"/>
    <x v="27"/>
    <x v="4"/>
    <n v="0.91"/>
    <n v="200"/>
    <n v="0.72"/>
    <x v="48"/>
    <n v="70"/>
  </r>
  <r>
    <x v="231"/>
    <x v="92"/>
    <x v="0"/>
    <x v="4"/>
    <n v="0.76"/>
    <n v="178"/>
    <n v="0.65"/>
    <x v="42"/>
    <n v="68"/>
  </r>
  <r>
    <x v="232"/>
    <x v="92"/>
    <x v="0"/>
    <x v="4"/>
    <n v="0.7"/>
    <n v="193"/>
    <n v="0.62"/>
    <x v="61"/>
    <n v="67"/>
  </r>
  <r>
    <x v="233"/>
    <x v="37"/>
    <x v="0"/>
    <x v="4"/>
    <n v="0.74"/>
    <n v="207"/>
    <n v="0.73"/>
    <x v="76"/>
    <n v="28"/>
  </r>
  <r>
    <x v="234"/>
    <x v="93"/>
    <x v="12"/>
    <x v="4"/>
    <n v="0.42"/>
    <n v="270"/>
    <n v="0.26"/>
    <x v="12"/>
    <n v="86"/>
  </r>
  <r>
    <x v="235"/>
    <x v="94"/>
    <x v="3"/>
    <x v="4"/>
    <n v="0.5"/>
    <n v="240"/>
    <n v="0.89"/>
    <x v="25"/>
    <n v="73"/>
  </r>
  <r>
    <x v="236"/>
    <x v="69"/>
    <x v="0"/>
    <x v="4"/>
    <n v="0.59"/>
    <n v="266"/>
    <n v="0.73"/>
    <x v="60"/>
    <n v="0"/>
  </r>
  <r>
    <x v="237"/>
    <x v="13"/>
    <x v="0"/>
    <x v="4"/>
    <n v="0.65"/>
    <n v="216"/>
    <n v="0.59"/>
    <x v="38"/>
    <n v="78"/>
  </r>
  <r>
    <x v="238"/>
    <x v="13"/>
    <x v="0"/>
    <x v="4"/>
    <n v="0.69"/>
    <n v="204"/>
    <n v="0.64"/>
    <x v="76"/>
    <n v="66"/>
  </r>
  <r>
    <x v="239"/>
    <x v="13"/>
    <x v="0"/>
    <x v="4"/>
    <n v="0.72"/>
    <n v="215"/>
    <n v="0.67"/>
    <x v="25"/>
    <n v="65"/>
  </r>
  <r>
    <x v="240"/>
    <x v="15"/>
    <x v="0"/>
    <x v="4"/>
    <n v="0.62"/>
    <n v="233"/>
    <n v="0.92"/>
    <x v="39"/>
    <n v="65"/>
  </r>
  <r>
    <x v="241"/>
    <x v="95"/>
    <x v="28"/>
    <x v="4"/>
    <n v="0.56000000000000005"/>
    <n v="215"/>
    <n v="0.82"/>
    <x v="31"/>
    <n v="37"/>
  </r>
  <r>
    <x v="242"/>
    <x v="96"/>
    <x v="0"/>
    <x v="4"/>
    <n v="0.78"/>
    <n v="235"/>
    <n v="0.5"/>
    <x v="13"/>
    <n v="37"/>
  </r>
  <r>
    <x v="243"/>
    <x v="97"/>
    <x v="5"/>
    <x v="4"/>
    <n v="0.69"/>
    <n v="193"/>
    <n v="0.57999999999999996"/>
    <x v="42"/>
    <n v="73"/>
  </r>
  <r>
    <x v="244"/>
    <x v="98"/>
    <x v="3"/>
    <x v="4"/>
    <n v="0.77"/>
    <n v="225"/>
    <n v="0.76"/>
    <x v="50"/>
    <n v="79"/>
  </r>
  <r>
    <x v="245"/>
    <x v="75"/>
    <x v="0"/>
    <x v="4"/>
    <n v="0.63"/>
    <n v="224"/>
    <n v="0.57999999999999996"/>
    <x v="77"/>
    <n v="38"/>
  </r>
  <r>
    <x v="246"/>
    <x v="16"/>
    <x v="3"/>
    <x v="4"/>
    <n v="0.74"/>
    <n v="190"/>
    <n v="0.71"/>
    <x v="12"/>
    <n v="78"/>
  </r>
  <r>
    <x v="247"/>
    <x v="99"/>
    <x v="3"/>
    <x v="4"/>
    <n v="0.78"/>
    <n v="246"/>
    <n v="0.72"/>
    <x v="70"/>
    <n v="71"/>
  </r>
  <r>
    <x v="248"/>
    <x v="76"/>
    <x v="0"/>
    <x v="4"/>
    <n v="0.57999999999999996"/>
    <n v="279"/>
    <n v="0.66"/>
    <x v="12"/>
    <n v="72"/>
  </r>
  <r>
    <x v="249"/>
    <x v="41"/>
    <x v="0"/>
    <x v="4"/>
    <n v="0.96"/>
    <n v="260"/>
    <n v="0.6"/>
    <x v="13"/>
    <n v="50"/>
  </r>
  <r>
    <x v="250"/>
    <x v="20"/>
    <x v="0"/>
    <x v="4"/>
    <n v="0.72"/>
    <n v="225"/>
    <n v="0.93"/>
    <x v="12"/>
    <n v="66"/>
  </r>
  <r>
    <x v="251"/>
    <x v="100"/>
    <x v="29"/>
    <x v="4"/>
    <n v="0.51"/>
    <n v="253"/>
    <n v="0.54"/>
    <x v="41"/>
    <n v="77"/>
  </r>
  <r>
    <x v="252"/>
    <x v="101"/>
    <x v="0"/>
    <x v="4"/>
    <n v="0.65"/>
    <n v="233"/>
    <n v="0.82"/>
    <x v="54"/>
    <n v="79"/>
  </r>
  <r>
    <x v="253"/>
    <x v="101"/>
    <x v="0"/>
    <x v="4"/>
    <n v="0.93"/>
    <n v="202"/>
    <n v="0.8"/>
    <x v="12"/>
    <n v="59"/>
  </r>
  <r>
    <x v="254"/>
    <x v="43"/>
    <x v="0"/>
    <x v="4"/>
    <n v="0.6"/>
    <n v="222"/>
    <n v="0.94"/>
    <x v="16"/>
    <n v="56"/>
  </r>
  <r>
    <x v="255"/>
    <x v="102"/>
    <x v="3"/>
    <x v="4"/>
    <n v="0.42"/>
    <n v="173"/>
    <n v="0.42"/>
    <x v="43"/>
    <n v="85"/>
  </r>
  <r>
    <x v="256"/>
    <x v="24"/>
    <x v="10"/>
    <x v="4"/>
    <n v="0.69"/>
    <n v="207"/>
    <n v="0.81"/>
    <x v="0"/>
    <n v="62"/>
  </r>
  <r>
    <x v="257"/>
    <x v="24"/>
    <x v="10"/>
    <x v="4"/>
    <n v="0.8"/>
    <n v="198"/>
    <n v="0.82"/>
    <x v="17"/>
    <n v="50"/>
  </r>
  <r>
    <x v="258"/>
    <x v="103"/>
    <x v="30"/>
    <x v="4"/>
    <n v="0.28999999999999998"/>
    <n v="216"/>
    <n v="0.78"/>
    <x v="64"/>
    <n v="56"/>
  </r>
  <r>
    <x v="259"/>
    <x v="53"/>
    <x v="3"/>
    <x v="4"/>
    <n v="0.65"/>
    <n v="219"/>
    <n v="0.8"/>
    <x v="54"/>
    <n v="78"/>
  </r>
  <r>
    <x v="260"/>
    <x v="104"/>
    <x v="31"/>
    <x v="4"/>
    <n v="0.79"/>
    <n v="184"/>
    <n v="0.92"/>
    <x v="17"/>
    <n v="65"/>
  </r>
  <r>
    <x v="261"/>
    <x v="84"/>
    <x v="24"/>
    <x v="4"/>
    <n v="0.6"/>
    <n v="217"/>
    <n v="0.74"/>
    <x v="17"/>
    <n v="64"/>
  </r>
  <r>
    <x v="30"/>
    <x v="31"/>
    <x v="13"/>
    <x v="5"/>
    <n v="0.48"/>
    <n v="295"/>
    <n v="0.45"/>
    <x v="78"/>
    <n v="73"/>
  </r>
  <r>
    <x v="262"/>
    <x v="105"/>
    <x v="32"/>
    <x v="5"/>
    <n v="0.38"/>
    <n v="199"/>
    <n v="0.82"/>
    <x v="12"/>
    <n v="68"/>
  </r>
  <r>
    <x v="263"/>
    <x v="106"/>
    <x v="7"/>
    <x v="5"/>
    <n v="0.52"/>
    <n v="210"/>
    <n v="0.75"/>
    <x v="25"/>
    <n v="56"/>
  </r>
  <r>
    <x v="264"/>
    <x v="2"/>
    <x v="2"/>
    <x v="5"/>
    <n v="0.64"/>
    <n v="285"/>
    <n v="0.67"/>
    <x v="3"/>
    <n v="49"/>
  </r>
  <r>
    <x v="265"/>
    <x v="55"/>
    <x v="0"/>
    <x v="5"/>
    <n v="0.47"/>
    <n v="236"/>
    <n v="0.71"/>
    <x v="21"/>
    <n v="76"/>
  </r>
  <r>
    <x v="266"/>
    <x v="55"/>
    <x v="0"/>
    <x v="5"/>
    <n v="0.69"/>
    <n v="215"/>
    <n v="0.7"/>
    <x v="13"/>
    <n v="75"/>
  </r>
  <r>
    <x v="267"/>
    <x v="55"/>
    <x v="0"/>
    <x v="5"/>
    <n v="0.67"/>
    <n v="211"/>
    <n v="0.88"/>
    <x v="42"/>
    <n v="66"/>
  </r>
  <r>
    <x v="268"/>
    <x v="57"/>
    <x v="7"/>
    <x v="5"/>
    <n v="0.63"/>
    <n v="233"/>
    <n v="0.67"/>
    <x v="56"/>
    <n v="65"/>
  </r>
  <r>
    <x v="269"/>
    <x v="33"/>
    <x v="0"/>
    <x v="5"/>
    <n v="0.75"/>
    <n v="214"/>
    <n v="0.71"/>
    <x v="63"/>
    <n v="72"/>
  </r>
  <r>
    <x v="270"/>
    <x v="58"/>
    <x v="0"/>
    <x v="5"/>
    <n v="0.74"/>
    <n v="213"/>
    <n v="0.87"/>
    <x v="20"/>
    <n v="77"/>
  </r>
  <r>
    <x v="271"/>
    <x v="58"/>
    <x v="0"/>
    <x v="5"/>
    <n v="0.41"/>
    <n v="213"/>
    <n v="0.86"/>
    <x v="17"/>
    <n v="76"/>
  </r>
  <r>
    <x v="272"/>
    <x v="45"/>
    <x v="6"/>
    <x v="5"/>
    <n v="0.62"/>
    <n v="205"/>
    <n v="0.81"/>
    <x v="20"/>
    <n v="66"/>
  </r>
  <r>
    <x v="273"/>
    <x v="5"/>
    <x v="0"/>
    <x v="5"/>
    <n v="0.63"/>
    <n v="218"/>
    <n v="0.8"/>
    <x v="79"/>
    <n v="72"/>
  </r>
  <r>
    <x v="274"/>
    <x v="107"/>
    <x v="0"/>
    <x v="5"/>
    <n v="0.8"/>
    <n v="228"/>
    <n v="0.59"/>
    <x v="27"/>
    <n v="73"/>
  </r>
  <r>
    <x v="275"/>
    <x v="6"/>
    <x v="0"/>
    <x v="5"/>
    <n v="0.6"/>
    <n v="193"/>
    <n v="0.73"/>
    <x v="60"/>
    <n v="72"/>
  </r>
  <r>
    <x v="276"/>
    <x v="6"/>
    <x v="0"/>
    <x v="5"/>
    <n v="0.6"/>
    <n v="193"/>
    <n v="0.87"/>
    <x v="49"/>
    <n v="54"/>
  </r>
  <r>
    <x v="277"/>
    <x v="6"/>
    <x v="0"/>
    <x v="5"/>
    <n v="0.56999999999999995"/>
    <n v="243"/>
    <n v="0.78"/>
    <x v="17"/>
    <n v="46"/>
  </r>
  <r>
    <x v="278"/>
    <x v="61"/>
    <x v="0"/>
    <x v="5"/>
    <n v="0.71"/>
    <n v="202"/>
    <n v="0.73"/>
    <x v="27"/>
    <n v="70"/>
  </r>
  <r>
    <x v="279"/>
    <x v="108"/>
    <x v="3"/>
    <x v="5"/>
    <n v="0.78"/>
    <n v="282"/>
    <n v="0.45"/>
    <x v="80"/>
    <n v="84"/>
  </r>
  <r>
    <x v="280"/>
    <x v="108"/>
    <x v="3"/>
    <x v="5"/>
    <n v="0.81"/>
    <n v="220"/>
    <n v="0.61"/>
    <x v="48"/>
    <n v="74"/>
  </r>
  <r>
    <x v="281"/>
    <x v="108"/>
    <x v="3"/>
    <x v="5"/>
    <n v="0.82"/>
    <n v="235"/>
    <n v="0.67"/>
    <x v="12"/>
    <n v="71"/>
  </r>
  <r>
    <x v="282"/>
    <x v="108"/>
    <x v="3"/>
    <x v="5"/>
    <n v="0.48"/>
    <n v="309"/>
    <n v="0.59"/>
    <x v="81"/>
    <n v="52"/>
  </r>
  <r>
    <x v="283"/>
    <x v="47"/>
    <x v="0"/>
    <x v="5"/>
    <n v="0.26"/>
    <n v="253"/>
    <n v="0.61"/>
    <x v="82"/>
    <n v="79"/>
  </r>
  <r>
    <x v="284"/>
    <x v="47"/>
    <x v="0"/>
    <x v="5"/>
    <n v="0.7"/>
    <n v="213"/>
    <n v="0.71"/>
    <x v="69"/>
    <n v="65"/>
  </r>
  <r>
    <x v="285"/>
    <x v="8"/>
    <x v="0"/>
    <x v="5"/>
    <n v="0.72"/>
    <n v="238"/>
    <n v="0.9"/>
    <x v="29"/>
    <n v="34"/>
  </r>
  <r>
    <x v="286"/>
    <x v="64"/>
    <x v="0"/>
    <x v="5"/>
    <n v="0.48"/>
    <n v="193"/>
    <n v="0.39"/>
    <x v="83"/>
    <n v="0"/>
  </r>
  <r>
    <x v="287"/>
    <x v="109"/>
    <x v="0"/>
    <x v="5"/>
    <n v="0.88"/>
    <n v="225"/>
    <n v="0.77"/>
    <x v="42"/>
    <n v="75"/>
  </r>
  <r>
    <x v="288"/>
    <x v="109"/>
    <x v="0"/>
    <x v="5"/>
    <n v="0.81"/>
    <n v="171"/>
    <n v="0.87"/>
    <x v="22"/>
    <n v="66"/>
  </r>
  <r>
    <x v="289"/>
    <x v="10"/>
    <x v="0"/>
    <x v="5"/>
    <n v="0.69"/>
    <n v="192"/>
    <n v="0.7"/>
    <x v="35"/>
    <n v="77"/>
  </r>
  <r>
    <x v="290"/>
    <x v="11"/>
    <x v="5"/>
    <x v="5"/>
    <n v="0.26"/>
    <n v="225"/>
    <n v="0.43"/>
    <x v="58"/>
    <n v="47"/>
  </r>
  <r>
    <x v="291"/>
    <x v="110"/>
    <x v="0"/>
    <x v="5"/>
    <n v="0.69"/>
    <n v="203"/>
    <n v="0.55000000000000004"/>
    <x v="42"/>
    <n v="52"/>
  </r>
  <r>
    <x v="292"/>
    <x v="110"/>
    <x v="0"/>
    <x v="5"/>
    <n v="0.88"/>
    <n v="202"/>
    <n v="0.8"/>
    <x v="12"/>
    <n v="39"/>
  </r>
  <r>
    <x v="293"/>
    <x v="111"/>
    <x v="0"/>
    <x v="5"/>
    <n v="0.85"/>
    <n v="186"/>
    <n v="0.88"/>
    <x v="20"/>
    <n v="44"/>
  </r>
  <r>
    <x v="294"/>
    <x v="112"/>
    <x v="33"/>
    <x v="5"/>
    <n v="0.56999999999999995"/>
    <n v="242"/>
    <n v="0.66"/>
    <x v="15"/>
    <n v="81"/>
  </r>
  <r>
    <x v="295"/>
    <x v="92"/>
    <x v="0"/>
    <x v="5"/>
    <n v="0.78"/>
    <n v="208"/>
    <n v="0.68"/>
    <x v="57"/>
    <n v="77"/>
  </r>
  <r>
    <x v="296"/>
    <x v="92"/>
    <x v="0"/>
    <x v="5"/>
    <n v="0.63"/>
    <n v="217"/>
    <n v="0.7"/>
    <x v="61"/>
    <n v="69"/>
  </r>
  <r>
    <x v="297"/>
    <x v="113"/>
    <x v="0"/>
    <x v="5"/>
    <n v="0.9"/>
    <n v="255"/>
    <n v="0.53"/>
    <x v="7"/>
    <n v="18"/>
  </r>
  <r>
    <x v="298"/>
    <x v="37"/>
    <x v="0"/>
    <x v="5"/>
    <n v="0.71"/>
    <n v="210"/>
    <n v="0.95"/>
    <x v="15"/>
    <n v="64"/>
  </r>
  <r>
    <x v="299"/>
    <x v="37"/>
    <x v="0"/>
    <x v="5"/>
    <n v="0.47"/>
    <n v="292"/>
    <n v="0.6"/>
    <x v="84"/>
    <n v="55"/>
  </r>
  <r>
    <x v="300"/>
    <x v="114"/>
    <x v="0"/>
    <x v="5"/>
    <n v="0.56999999999999995"/>
    <n v="211"/>
    <n v="0.82"/>
    <x v="12"/>
    <n v="52"/>
  </r>
  <r>
    <x v="301"/>
    <x v="38"/>
    <x v="1"/>
    <x v="5"/>
    <n v="0.71"/>
    <n v="199"/>
    <n v="0.75"/>
    <x v="10"/>
    <n v="61"/>
  </r>
  <r>
    <x v="302"/>
    <x v="12"/>
    <x v="6"/>
    <x v="5"/>
    <n v="0.61"/>
    <n v="234"/>
    <n v="0.38"/>
    <x v="42"/>
    <n v="83"/>
  </r>
  <r>
    <x v="303"/>
    <x v="12"/>
    <x v="6"/>
    <x v="5"/>
    <n v="0.65"/>
    <n v="201"/>
    <n v="0.76"/>
    <x v="42"/>
    <n v="81"/>
  </r>
  <r>
    <x v="304"/>
    <x v="12"/>
    <x v="6"/>
    <x v="5"/>
    <n v="0.85"/>
    <n v="206"/>
    <n v="0.56999999999999995"/>
    <x v="16"/>
    <n v="79"/>
  </r>
  <r>
    <x v="305"/>
    <x v="12"/>
    <x v="6"/>
    <x v="5"/>
    <n v="0.59"/>
    <n v="208"/>
    <n v="0.8"/>
    <x v="48"/>
    <n v="72"/>
  </r>
  <r>
    <x v="306"/>
    <x v="12"/>
    <x v="6"/>
    <x v="5"/>
    <n v="0.36"/>
    <n v="200"/>
    <n v="0.61"/>
    <x v="75"/>
    <n v="68"/>
  </r>
  <r>
    <x v="307"/>
    <x v="12"/>
    <x v="6"/>
    <x v="5"/>
    <n v="0.53"/>
    <n v="245"/>
    <n v="0.81"/>
    <x v="36"/>
    <n v="67"/>
  </r>
  <r>
    <x v="308"/>
    <x v="12"/>
    <x v="6"/>
    <x v="5"/>
    <n v="0.77"/>
    <n v="204"/>
    <n v="0.36"/>
    <x v="16"/>
    <n v="64"/>
  </r>
  <r>
    <x v="309"/>
    <x v="12"/>
    <x v="6"/>
    <x v="5"/>
    <n v="0.38"/>
    <n v="134"/>
    <n v="0.26"/>
    <x v="57"/>
    <n v="63"/>
  </r>
  <r>
    <x v="310"/>
    <x v="12"/>
    <x v="6"/>
    <x v="5"/>
    <n v="0.74"/>
    <n v="199"/>
    <n v="0.78"/>
    <x v="85"/>
    <n v="60"/>
  </r>
  <r>
    <x v="311"/>
    <x v="13"/>
    <x v="0"/>
    <x v="5"/>
    <n v="0.62"/>
    <n v="224"/>
    <n v="0.84"/>
    <x v="25"/>
    <n v="41"/>
  </r>
  <r>
    <x v="312"/>
    <x v="50"/>
    <x v="0"/>
    <x v="5"/>
    <n v="0.49"/>
    <n v="199"/>
    <n v="0.8"/>
    <x v="77"/>
    <n v="69"/>
  </r>
  <r>
    <x v="313"/>
    <x v="50"/>
    <x v="0"/>
    <x v="5"/>
    <n v="0.28000000000000003"/>
    <n v="273"/>
    <n v="0.37"/>
    <x v="29"/>
    <n v="36"/>
  </r>
  <r>
    <x v="314"/>
    <x v="115"/>
    <x v="34"/>
    <x v="5"/>
    <n v="0.76"/>
    <n v="189"/>
    <n v="0.89"/>
    <x v="86"/>
    <n v="58"/>
  </r>
  <r>
    <x v="315"/>
    <x v="73"/>
    <x v="0"/>
    <x v="5"/>
    <n v="0.79"/>
    <n v="198"/>
    <n v="0.67"/>
    <x v="87"/>
    <n v="65"/>
  </r>
  <r>
    <x v="316"/>
    <x v="116"/>
    <x v="35"/>
    <x v="5"/>
    <n v="0.71"/>
    <n v="159"/>
    <n v="0.7"/>
    <x v="20"/>
    <n v="61"/>
  </r>
  <r>
    <x v="317"/>
    <x v="74"/>
    <x v="0"/>
    <x v="5"/>
    <n v="0.83"/>
    <n v="293"/>
    <n v="0.61"/>
    <x v="39"/>
    <n v="70"/>
  </r>
  <r>
    <x v="318"/>
    <x v="117"/>
    <x v="0"/>
    <x v="5"/>
    <n v="0.54"/>
    <n v="250"/>
    <n v="0.55000000000000004"/>
    <x v="80"/>
    <n v="54"/>
  </r>
  <r>
    <x v="319"/>
    <x v="117"/>
    <x v="0"/>
    <x v="5"/>
    <n v="0.67"/>
    <n v="219"/>
    <n v="0.79"/>
    <x v="86"/>
    <n v="52"/>
  </r>
  <r>
    <x v="320"/>
    <x v="118"/>
    <x v="0"/>
    <x v="5"/>
    <n v="0.86"/>
    <n v="270"/>
    <n v="0.61"/>
    <x v="88"/>
    <n v="82"/>
  </r>
  <r>
    <x v="321"/>
    <x v="16"/>
    <x v="3"/>
    <x v="5"/>
    <n v="0.75"/>
    <n v="235"/>
    <n v="0.79"/>
    <x v="12"/>
    <n v="81"/>
  </r>
  <r>
    <x v="322"/>
    <x v="16"/>
    <x v="3"/>
    <x v="5"/>
    <n v="0.28000000000000003"/>
    <n v="231"/>
    <n v="0.74"/>
    <x v="82"/>
    <n v="76"/>
  </r>
  <r>
    <x v="321"/>
    <x v="16"/>
    <x v="3"/>
    <x v="5"/>
    <n v="0.75"/>
    <n v="235"/>
    <n v="0.79"/>
    <x v="12"/>
    <n v="66"/>
  </r>
  <r>
    <x v="323"/>
    <x v="119"/>
    <x v="0"/>
    <x v="5"/>
    <n v="0.66"/>
    <n v="184"/>
    <n v="0.78"/>
    <x v="80"/>
    <n v="72"/>
  </r>
  <r>
    <x v="324"/>
    <x v="119"/>
    <x v="0"/>
    <x v="5"/>
    <n v="0.78"/>
    <n v="183"/>
    <n v="0.83"/>
    <x v="40"/>
    <n v="68"/>
  </r>
  <r>
    <x v="325"/>
    <x v="119"/>
    <x v="0"/>
    <x v="5"/>
    <n v="0.81"/>
    <n v="189"/>
    <n v="0.88"/>
    <x v="55"/>
    <n v="65"/>
  </r>
  <r>
    <x v="326"/>
    <x v="120"/>
    <x v="36"/>
    <x v="5"/>
    <n v="0.83"/>
    <n v="208"/>
    <n v="0.51"/>
    <x v="12"/>
    <n v="77"/>
  </r>
  <r>
    <x v="327"/>
    <x v="121"/>
    <x v="36"/>
    <x v="5"/>
    <n v="0.32"/>
    <n v="213"/>
    <n v="0.85"/>
    <x v="40"/>
    <n v="69"/>
  </r>
  <r>
    <x v="328"/>
    <x v="122"/>
    <x v="0"/>
    <x v="5"/>
    <n v="0.68"/>
    <n v="222"/>
    <n v="0.71"/>
    <x v="3"/>
    <n v="70"/>
  </r>
  <r>
    <x v="329"/>
    <x v="123"/>
    <x v="0"/>
    <x v="5"/>
    <n v="0.69"/>
    <n v="224"/>
    <n v="0.85"/>
    <x v="88"/>
    <n v="69"/>
  </r>
  <r>
    <x v="330"/>
    <x v="51"/>
    <x v="18"/>
    <x v="5"/>
    <n v="0.67"/>
    <n v="227"/>
    <n v="0.52"/>
    <x v="12"/>
    <n v="77"/>
  </r>
  <r>
    <x v="331"/>
    <x v="51"/>
    <x v="18"/>
    <x v="5"/>
    <n v="0.65"/>
    <n v="230"/>
    <n v="0.82"/>
    <x v="42"/>
    <n v="55"/>
  </r>
  <r>
    <x v="332"/>
    <x v="51"/>
    <x v="18"/>
    <x v="5"/>
    <n v="0.47"/>
    <n v="227"/>
    <n v="0.76"/>
    <x v="59"/>
    <n v="51"/>
  </r>
  <r>
    <x v="333"/>
    <x v="20"/>
    <x v="0"/>
    <x v="5"/>
    <n v="0.59"/>
    <n v="235"/>
    <n v="0.85"/>
    <x v="12"/>
    <n v="67"/>
  </r>
  <r>
    <x v="334"/>
    <x v="124"/>
    <x v="13"/>
    <x v="5"/>
    <n v="0.56999999999999995"/>
    <n v="233"/>
    <n v="0.89"/>
    <x v="32"/>
    <n v="69"/>
  </r>
  <r>
    <x v="335"/>
    <x v="43"/>
    <x v="0"/>
    <x v="5"/>
    <n v="0.69"/>
    <n v="235"/>
    <n v="0.94"/>
    <x v="86"/>
    <n v="67"/>
  </r>
  <r>
    <x v="336"/>
    <x v="43"/>
    <x v="0"/>
    <x v="5"/>
    <n v="0.68"/>
    <n v="193"/>
    <n v="0.85"/>
    <x v="36"/>
    <n v="50"/>
  </r>
  <r>
    <x v="337"/>
    <x v="43"/>
    <x v="0"/>
    <x v="5"/>
    <n v="0.72"/>
    <n v="229"/>
    <n v="0.8"/>
    <x v="46"/>
    <n v="45"/>
  </r>
  <r>
    <x v="338"/>
    <x v="125"/>
    <x v="0"/>
    <x v="5"/>
    <n v="0.8"/>
    <n v="196"/>
    <n v="0.78"/>
    <x v="17"/>
    <n v="42"/>
  </r>
  <r>
    <x v="339"/>
    <x v="21"/>
    <x v="9"/>
    <x v="5"/>
    <n v="0.57999999999999996"/>
    <n v="188"/>
    <n v="0.27"/>
    <x v="89"/>
    <n v="80"/>
  </r>
  <r>
    <x v="340"/>
    <x v="21"/>
    <x v="9"/>
    <x v="5"/>
    <n v="0.39"/>
    <n v="320"/>
    <n v="0.75"/>
    <x v="90"/>
    <n v="61"/>
  </r>
  <r>
    <x v="341"/>
    <x v="126"/>
    <x v="0"/>
    <x v="5"/>
    <n v="0.64"/>
    <n v="219"/>
    <n v="0.82"/>
    <x v="86"/>
    <n v="60"/>
  </r>
  <r>
    <x v="342"/>
    <x v="127"/>
    <x v="0"/>
    <x v="5"/>
    <n v="0.67"/>
    <n v="242"/>
    <n v="0.75"/>
    <x v="86"/>
    <n v="62"/>
  </r>
  <r>
    <x v="343"/>
    <x v="102"/>
    <x v="3"/>
    <x v="5"/>
    <n v="0.68"/>
    <n v="239"/>
    <n v="0.49"/>
    <x v="61"/>
    <n v="84"/>
  </r>
  <r>
    <x v="344"/>
    <x v="80"/>
    <x v="0"/>
    <x v="5"/>
    <n v="0.62"/>
    <n v="227"/>
    <n v="0.79"/>
    <x v="73"/>
    <n v="72"/>
  </r>
  <r>
    <x v="345"/>
    <x v="80"/>
    <x v="0"/>
    <x v="5"/>
    <n v="0.67"/>
    <n v="229"/>
    <n v="0.59"/>
    <x v="47"/>
    <n v="69"/>
  </r>
  <r>
    <x v="346"/>
    <x v="128"/>
    <x v="6"/>
    <x v="5"/>
    <n v="0.75"/>
    <n v="207"/>
    <n v="0.75"/>
    <x v="10"/>
    <n v="78"/>
  </r>
  <r>
    <x v="347"/>
    <x v="103"/>
    <x v="30"/>
    <x v="5"/>
    <n v="0.42"/>
    <n v="257"/>
    <n v="0.79"/>
    <x v="13"/>
    <n v="73"/>
  </r>
  <r>
    <x v="348"/>
    <x v="103"/>
    <x v="30"/>
    <x v="5"/>
    <n v="0.51"/>
    <n v="264"/>
    <n v="0.76"/>
    <x v="42"/>
    <n v="61"/>
  </r>
  <r>
    <x v="349"/>
    <x v="129"/>
    <x v="0"/>
    <x v="5"/>
    <n v="0.68"/>
    <n v="230"/>
    <n v="0.94"/>
    <x v="46"/>
    <n v="67"/>
  </r>
  <r>
    <x v="350"/>
    <x v="130"/>
    <x v="32"/>
    <x v="5"/>
    <n v="0.57999999999999996"/>
    <n v="242"/>
    <n v="0.56000000000000005"/>
    <x v="85"/>
    <n v="84"/>
  </r>
  <r>
    <x v="351"/>
    <x v="130"/>
    <x v="32"/>
    <x v="5"/>
    <n v="0.66"/>
    <n v="252"/>
    <n v="0.38"/>
    <x v="12"/>
    <n v="79"/>
  </r>
  <r>
    <x v="352"/>
    <x v="131"/>
    <x v="37"/>
    <x v="5"/>
    <n v="0.69"/>
    <n v="230"/>
    <n v="0.48"/>
    <x v="30"/>
    <n v="56"/>
  </r>
  <r>
    <x v="353"/>
    <x v="132"/>
    <x v="0"/>
    <x v="5"/>
    <n v="0.57999999999999996"/>
    <n v="213"/>
    <n v="0.73"/>
    <x v="24"/>
    <n v="77"/>
  </r>
  <r>
    <x v="354"/>
    <x v="84"/>
    <x v="24"/>
    <x v="5"/>
    <n v="0.57999999999999996"/>
    <n v="240"/>
    <n v="0.85"/>
    <x v="13"/>
    <n v="68"/>
  </r>
  <r>
    <x v="355"/>
    <x v="31"/>
    <x v="13"/>
    <x v="6"/>
    <n v="0.59"/>
    <n v="272"/>
    <n v="0.28000000000000003"/>
    <x v="91"/>
    <n v="71"/>
  </r>
  <r>
    <x v="356"/>
    <x v="31"/>
    <x v="13"/>
    <x v="6"/>
    <n v="0.69"/>
    <n v="223"/>
    <n v="0.52"/>
    <x v="9"/>
    <n v="61"/>
  </r>
  <r>
    <x v="357"/>
    <x v="31"/>
    <x v="13"/>
    <x v="6"/>
    <n v="0.38"/>
    <n v="291"/>
    <n v="0.59"/>
    <x v="50"/>
    <n v="58"/>
  </r>
  <r>
    <x v="358"/>
    <x v="31"/>
    <x v="13"/>
    <x v="6"/>
    <n v="0"/>
    <n v="227"/>
    <n v="0"/>
    <x v="92"/>
    <n v="0"/>
  </r>
  <r>
    <x v="359"/>
    <x v="105"/>
    <x v="32"/>
    <x v="6"/>
    <n v="0.56999999999999995"/>
    <n v="230"/>
    <n v="0.74"/>
    <x v="33"/>
    <n v="79"/>
  </r>
  <r>
    <x v="262"/>
    <x v="105"/>
    <x v="32"/>
    <x v="6"/>
    <n v="0.38"/>
    <n v="199"/>
    <n v="0.82"/>
    <x v="12"/>
    <n v="68"/>
  </r>
  <r>
    <x v="360"/>
    <x v="55"/>
    <x v="0"/>
    <x v="6"/>
    <n v="0.66"/>
    <n v="236"/>
    <n v="0.6"/>
    <x v="55"/>
    <n v="78"/>
  </r>
  <r>
    <x v="361"/>
    <x v="55"/>
    <x v="0"/>
    <x v="6"/>
    <n v="0.62"/>
    <n v="244"/>
    <n v="0.73"/>
    <x v="49"/>
    <n v="80"/>
  </r>
  <r>
    <x v="362"/>
    <x v="133"/>
    <x v="31"/>
    <x v="6"/>
    <n v="0.61"/>
    <n v="218"/>
    <n v="0.8"/>
    <x v="12"/>
    <n v="76"/>
  </r>
  <r>
    <x v="363"/>
    <x v="134"/>
    <x v="0"/>
    <x v="6"/>
    <n v="0.61"/>
    <n v="192"/>
    <n v="0.89"/>
    <x v="47"/>
    <n v="64"/>
  </r>
  <r>
    <x v="364"/>
    <x v="88"/>
    <x v="12"/>
    <x v="6"/>
    <n v="0.6"/>
    <n v="208"/>
    <n v="0.78"/>
    <x v="20"/>
    <n v="52"/>
  </r>
  <r>
    <x v="365"/>
    <x v="3"/>
    <x v="0"/>
    <x v="6"/>
    <n v="0.75"/>
    <n v="203"/>
    <n v="0.7"/>
    <x v="27"/>
    <n v="34"/>
  </r>
  <r>
    <x v="366"/>
    <x v="3"/>
    <x v="0"/>
    <x v="6"/>
    <n v="0.7"/>
    <n v="231"/>
    <n v="0.7"/>
    <x v="86"/>
    <n v="53"/>
  </r>
  <r>
    <x v="367"/>
    <x v="3"/>
    <x v="0"/>
    <x v="6"/>
    <n v="0.37"/>
    <n v="200"/>
    <n v="0.65"/>
    <x v="29"/>
    <n v="44"/>
  </r>
  <r>
    <x v="368"/>
    <x v="58"/>
    <x v="0"/>
    <x v="6"/>
    <n v="0.63"/>
    <n v="222"/>
    <n v="0.93"/>
    <x v="46"/>
    <n v="80"/>
  </r>
  <r>
    <x v="369"/>
    <x v="45"/>
    <x v="6"/>
    <x v="6"/>
    <n v="0.65"/>
    <n v="234"/>
    <n v="0.87"/>
    <x v="57"/>
    <n v="46"/>
  </r>
  <r>
    <x v="370"/>
    <x v="45"/>
    <x v="6"/>
    <x v="6"/>
    <n v="0.56000000000000005"/>
    <n v="251"/>
    <n v="0.72"/>
    <x v="19"/>
    <n v="63"/>
  </r>
  <r>
    <x v="371"/>
    <x v="135"/>
    <x v="0"/>
    <x v="6"/>
    <n v="0.75"/>
    <n v="192"/>
    <n v="0.69"/>
    <x v="32"/>
    <n v="41"/>
  </r>
  <r>
    <x v="372"/>
    <x v="5"/>
    <x v="0"/>
    <x v="6"/>
    <n v="0.62"/>
    <n v="187"/>
    <n v="0.54"/>
    <x v="61"/>
    <n v="54"/>
  </r>
  <r>
    <x v="373"/>
    <x v="61"/>
    <x v="0"/>
    <x v="6"/>
    <n v="0.63"/>
    <n v="194"/>
    <n v="0.74"/>
    <x v="14"/>
    <n v="65"/>
  </r>
  <r>
    <x v="374"/>
    <x v="61"/>
    <x v="0"/>
    <x v="6"/>
    <n v="0.59"/>
    <n v="206"/>
    <n v="0.75"/>
    <x v="13"/>
    <n v="75"/>
  </r>
  <r>
    <x v="375"/>
    <x v="136"/>
    <x v="0"/>
    <x v="6"/>
    <n v="0.77"/>
    <n v="219"/>
    <n v="0.75"/>
    <x v="19"/>
    <n v="81"/>
  </r>
  <r>
    <x v="376"/>
    <x v="136"/>
    <x v="0"/>
    <x v="6"/>
    <n v="0.63"/>
    <n v="197"/>
    <n v="0.95"/>
    <x v="13"/>
    <n v="48"/>
  </r>
  <r>
    <x v="377"/>
    <x v="136"/>
    <x v="0"/>
    <x v="6"/>
    <n v="0.55000000000000004"/>
    <n v="232"/>
    <n v="0.79"/>
    <x v="34"/>
    <n v="72"/>
  </r>
  <r>
    <x v="378"/>
    <x v="62"/>
    <x v="20"/>
    <x v="6"/>
    <n v="0.79"/>
    <n v="263"/>
    <n v="0.65"/>
    <x v="70"/>
    <n v="74"/>
  </r>
  <r>
    <x v="379"/>
    <x v="63"/>
    <x v="0"/>
    <x v="6"/>
    <n v="0.57999999999999996"/>
    <n v="238"/>
    <n v="0.64"/>
    <x v="87"/>
    <n v="57"/>
  </r>
  <r>
    <x v="380"/>
    <x v="109"/>
    <x v="0"/>
    <x v="6"/>
    <n v="0.8"/>
    <n v="214"/>
    <n v="0.59"/>
    <x v="34"/>
    <n v="79"/>
  </r>
  <r>
    <x v="381"/>
    <x v="11"/>
    <x v="5"/>
    <x v="6"/>
    <n v="0.37"/>
    <n v="403"/>
    <n v="0.56999999999999995"/>
    <x v="35"/>
    <n v="57"/>
  </r>
  <r>
    <x v="382"/>
    <x v="137"/>
    <x v="37"/>
    <x v="6"/>
    <n v="0.76"/>
    <n v="251"/>
    <n v="0.67"/>
    <x v="29"/>
    <n v="78"/>
  </r>
  <r>
    <x v="383"/>
    <x v="110"/>
    <x v="0"/>
    <x v="6"/>
    <n v="0.74"/>
    <n v="217"/>
    <n v="0.71"/>
    <x v="70"/>
    <n v="50"/>
  </r>
  <r>
    <x v="384"/>
    <x v="138"/>
    <x v="0"/>
    <x v="6"/>
    <n v="0.73"/>
    <n v="182"/>
    <n v="0.62"/>
    <x v="42"/>
    <n v="78"/>
  </r>
  <r>
    <x v="385"/>
    <x v="111"/>
    <x v="0"/>
    <x v="6"/>
    <n v="0.56999999999999995"/>
    <n v="204"/>
    <n v="0.76"/>
    <x v="46"/>
    <n v="36"/>
  </r>
  <r>
    <x v="386"/>
    <x v="139"/>
    <x v="0"/>
    <x v="6"/>
    <n v="0.83"/>
    <n v="250"/>
    <n v="0.71"/>
    <x v="86"/>
    <n v="31"/>
  </r>
  <r>
    <x v="387"/>
    <x v="37"/>
    <x v="0"/>
    <x v="6"/>
    <n v="0.76"/>
    <n v="218"/>
    <n v="0.68"/>
    <x v="12"/>
    <n v="72"/>
  </r>
  <r>
    <x v="388"/>
    <x v="140"/>
    <x v="38"/>
    <x v="6"/>
    <n v="0.7"/>
    <n v="225"/>
    <n v="0.81"/>
    <x v="1"/>
    <n v="29"/>
  </r>
  <r>
    <x v="389"/>
    <x v="93"/>
    <x v="12"/>
    <x v="6"/>
    <n v="0.52"/>
    <n v="310"/>
    <n v="0.04"/>
    <x v="39"/>
    <n v="47"/>
  </r>
  <r>
    <x v="302"/>
    <x v="12"/>
    <x v="6"/>
    <x v="6"/>
    <n v="0.61"/>
    <n v="234"/>
    <n v="0.38"/>
    <x v="42"/>
    <n v="83"/>
  </r>
  <r>
    <x v="305"/>
    <x v="12"/>
    <x v="6"/>
    <x v="6"/>
    <n v="0.59"/>
    <n v="208"/>
    <n v="0.8"/>
    <x v="48"/>
    <n v="72"/>
  </r>
  <r>
    <x v="390"/>
    <x v="69"/>
    <x v="0"/>
    <x v="6"/>
    <n v="0.67"/>
    <n v="236"/>
    <n v="0.83"/>
    <x v="85"/>
    <n v="79"/>
  </r>
  <r>
    <x v="391"/>
    <x v="13"/>
    <x v="0"/>
    <x v="6"/>
    <n v="0.55000000000000004"/>
    <n v="203"/>
    <n v="0.64"/>
    <x v="93"/>
    <n v="66"/>
  </r>
  <r>
    <x v="392"/>
    <x v="15"/>
    <x v="0"/>
    <x v="6"/>
    <n v="0.67"/>
    <n v="205"/>
    <n v="0.42"/>
    <x v="13"/>
    <n v="80"/>
  </r>
  <r>
    <x v="393"/>
    <x v="15"/>
    <x v="0"/>
    <x v="6"/>
    <n v="0.61"/>
    <n v="182"/>
    <n v="0.86"/>
    <x v="16"/>
    <n v="67"/>
  </r>
  <r>
    <x v="394"/>
    <x v="73"/>
    <x v="0"/>
    <x v="6"/>
    <n v="0.77"/>
    <n v="246"/>
    <n v="0.75"/>
    <x v="25"/>
    <n v="77"/>
  </r>
  <r>
    <x v="395"/>
    <x v="141"/>
    <x v="39"/>
    <x v="6"/>
    <n v="0.77"/>
    <n v="237"/>
    <n v="0.47"/>
    <x v="12"/>
    <n v="80"/>
  </r>
  <r>
    <x v="396"/>
    <x v="142"/>
    <x v="0"/>
    <x v="6"/>
    <n v="0.7"/>
    <n v="236"/>
    <n v="0.67"/>
    <x v="34"/>
    <n v="72"/>
  </r>
  <r>
    <x v="397"/>
    <x v="143"/>
    <x v="0"/>
    <x v="6"/>
    <n v="0.75"/>
    <n v="166"/>
    <n v="0.88"/>
    <x v="49"/>
    <n v="73"/>
  </r>
  <r>
    <x v="398"/>
    <x v="143"/>
    <x v="0"/>
    <x v="6"/>
    <n v="0.61"/>
    <n v="185"/>
    <n v="0.8"/>
    <x v="3"/>
    <n v="73"/>
  </r>
  <r>
    <x v="399"/>
    <x v="144"/>
    <x v="7"/>
    <x v="6"/>
    <n v="0.5"/>
    <n v="196"/>
    <n v="0.52"/>
    <x v="55"/>
    <n v="81"/>
  </r>
  <r>
    <x v="400"/>
    <x v="119"/>
    <x v="0"/>
    <x v="6"/>
    <n v="0.93"/>
    <n v="181"/>
    <n v="0.69"/>
    <x v="46"/>
    <n v="73"/>
  </r>
  <r>
    <x v="401"/>
    <x v="119"/>
    <x v="0"/>
    <x v="6"/>
    <n v="0.63"/>
    <n v="225"/>
    <n v="0.53"/>
    <x v="49"/>
    <n v="79"/>
  </r>
  <r>
    <x v="402"/>
    <x v="119"/>
    <x v="0"/>
    <x v="6"/>
    <n v="0.56000000000000005"/>
    <n v="214"/>
    <n v="0.8"/>
    <x v="31"/>
    <n v="70"/>
  </r>
  <r>
    <x v="403"/>
    <x v="18"/>
    <x v="0"/>
    <x v="6"/>
    <n v="0.66"/>
    <n v="198"/>
    <n v="0.71"/>
    <x v="66"/>
    <n v="78"/>
  </r>
  <r>
    <x v="404"/>
    <x v="145"/>
    <x v="0"/>
    <x v="6"/>
    <n v="0.93"/>
    <n v="193"/>
    <n v="0.82"/>
    <x v="12"/>
    <n v="58"/>
  </r>
  <r>
    <x v="405"/>
    <x v="145"/>
    <x v="0"/>
    <x v="6"/>
    <n v="0.83"/>
    <n v="263"/>
    <n v="0.75"/>
    <x v="53"/>
    <n v="47"/>
  </r>
  <r>
    <x v="327"/>
    <x v="121"/>
    <x v="36"/>
    <x v="6"/>
    <n v="0.32"/>
    <n v="213"/>
    <n v="0.85"/>
    <x v="40"/>
    <n v="69"/>
  </r>
  <r>
    <x v="406"/>
    <x v="146"/>
    <x v="40"/>
    <x v="6"/>
    <n v="0.8"/>
    <n v="228"/>
    <n v="0.47"/>
    <x v="47"/>
    <n v="18"/>
  </r>
  <r>
    <x v="407"/>
    <x v="122"/>
    <x v="0"/>
    <x v="6"/>
    <n v="0.73"/>
    <n v="193"/>
    <n v="0.78"/>
    <x v="49"/>
    <n v="50"/>
  </r>
  <r>
    <x v="408"/>
    <x v="122"/>
    <x v="0"/>
    <x v="6"/>
    <n v="0.65"/>
    <n v="234"/>
    <n v="0.62"/>
    <x v="46"/>
    <n v="72"/>
  </r>
  <r>
    <x v="409"/>
    <x v="20"/>
    <x v="0"/>
    <x v="6"/>
    <n v="0.55000000000000004"/>
    <n v="170"/>
    <n v="0.69"/>
    <x v="42"/>
    <n v="66"/>
  </r>
  <r>
    <x v="410"/>
    <x v="42"/>
    <x v="0"/>
    <x v="6"/>
    <n v="0.63"/>
    <n v="215"/>
    <n v="0.7"/>
    <x v="94"/>
    <n v="71"/>
  </r>
  <r>
    <x v="411"/>
    <x v="100"/>
    <x v="29"/>
    <x v="6"/>
    <n v="0.39"/>
    <n v="214"/>
    <n v="0.17"/>
    <x v="60"/>
    <n v="36"/>
  </r>
  <r>
    <x v="412"/>
    <x v="21"/>
    <x v="9"/>
    <x v="6"/>
    <n v="0.73"/>
    <n v="219"/>
    <n v="0.53"/>
    <x v="31"/>
    <n v="78"/>
  </r>
  <r>
    <x v="413"/>
    <x v="21"/>
    <x v="9"/>
    <x v="6"/>
    <n v="0.67"/>
    <n v="192"/>
    <n v="0.31"/>
    <x v="4"/>
    <n v="80"/>
  </r>
  <r>
    <x v="414"/>
    <x v="80"/>
    <x v="0"/>
    <x v="6"/>
    <n v="0.81"/>
    <n v="201"/>
    <n v="0.5"/>
    <x v="4"/>
    <n v="71"/>
  </r>
  <r>
    <x v="415"/>
    <x v="80"/>
    <x v="0"/>
    <x v="6"/>
    <n v="0.76"/>
    <n v="218"/>
    <n v="0.88"/>
    <x v="12"/>
    <n v="70"/>
  </r>
  <r>
    <x v="346"/>
    <x v="128"/>
    <x v="6"/>
    <x v="6"/>
    <n v="0.75"/>
    <n v="207"/>
    <n v="0.75"/>
    <x v="10"/>
    <n v="78"/>
  </r>
  <r>
    <x v="416"/>
    <x v="128"/>
    <x v="6"/>
    <x v="6"/>
    <n v="0.68"/>
    <n v="224"/>
    <n v="0.77"/>
    <x v="57"/>
    <n v="57"/>
  </r>
  <r>
    <x v="417"/>
    <x v="128"/>
    <x v="6"/>
    <x v="6"/>
    <n v="0.47"/>
    <n v="216"/>
    <n v="0.34"/>
    <x v="44"/>
    <n v="65"/>
  </r>
  <r>
    <x v="418"/>
    <x v="103"/>
    <x v="30"/>
    <x v="6"/>
    <n v="0.59"/>
    <n v="225"/>
    <n v="0.8"/>
    <x v="53"/>
    <n v="64"/>
  </r>
  <r>
    <x v="419"/>
    <x v="147"/>
    <x v="0"/>
    <x v="6"/>
    <n v="0.6"/>
    <n v="228"/>
    <n v="0.88"/>
    <x v="39"/>
    <n v="63"/>
  </r>
  <r>
    <x v="420"/>
    <x v="53"/>
    <x v="3"/>
    <x v="6"/>
    <n v="0.55000000000000004"/>
    <n v="236"/>
    <n v="0.84"/>
    <x v="31"/>
    <n v="66"/>
  </r>
  <r>
    <x v="421"/>
    <x v="104"/>
    <x v="31"/>
    <x v="6"/>
    <n v="0.71"/>
    <n v="227"/>
    <n v="0.8"/>
    <x v="42"/>
    <n v="74"/>
  </r>
  <r>
    <x v="422"/>
    <x v="104"/>
    <x v="31"/>
    <x v="6"/>
    <n v="0.66"/>
    <n v="194"/>
    <n v="0.59"/>
    <x v="53"/>
    <n v="72"/>
  </r>
  <r>
    <x v="423"/>
    <x v="104"/>
    <x v="31"/>
    <x v="6"/>
    <n v="0.53"/>
    <n v="208"/>
    <n v="0.87"/>
    <x v="54"/>
    <n v="81"/>
  </r>
  <r>
    <x v="350"/>
    <x v="130"/>
    <x v="32"/>
    <x v="6"/>
    <n v="0.57999999999999996"/>
    <n v="242"/>
    <n v="0.56000000000000005"/>
    <x v="85"/>
    <n v="84"/>
  </r>
  <r>
    <x v="424"/>
    <x v="148"/>
    <x v="0"/>
    <x v="6"/>
    <n v="0.67"/>
    <n v="199"/>
    <n v="0.69"/>
    <x v="66"/>
    <n v="69"/>
  </r>
  <r>
    <x v="425"/>
    <x v="149"/>
    <x v="0"/>
    <x v="6"/>
    <n v="0.71"/>
    <n v="203"/>
    <n v="0.78"/>
    <x v="25"/>
    <n v="58"/>
  </r>
  <r>
    <x v="426"/>
    <x v="150"/>
    <x v="0"/>
    <x v="6"/>
    <n v="0.59"/>
    <n v="204"/>
    <n v="0.7"/>
    <x v="16"/>
    <n v="66"/>
  </r>
  <r>
    <x v="427"/>
    <x v="150"/>
    <x v="0"/>
    <x v="6"/>
    <n v="0.56000000000000005"/>
    <n v="192"/>
    <n v="0.83"/>
    <x v="85"/>
    <n v="65"/>
  </r>
  <r>
    <x v="428"/>
    <x v="84"/>
    <x v="24"/>
    <x v="6"/>
    <n v="0.56999999999999995"/>
    <n v="225"/>
    <n v="0.79"/>
    <x v="25"/>
    <n v="51"/>
  </r>
  <r>
    <x v="355"/>
    <x v="31"/>
    <x v="13"/>
    <x v="7"/>
    <n v="0.59"/>
    <n v="272"/>
    <n v="0.28000000000000003"/>
    <x v="91"/>
    <n v="71"/>
  </r>
  <r>
    <x v="429"/>
    <x v="31"/>
    <x v="13"/>
    <x v="7"/>
    <n v="0.6"/>
    <n v="240"/>
    <n v="0.84"/>
    <x v="48"/>
    <n v="49"/>
  </r>
  <r>
    <x v="430"/>
    <x v="151"/>
    <x v="41"/>
    <x v="7"/>
    <n v="0.69"/>
    <n v="192"/>
    <n v="0.88"/>
    <x v="46"/>
    <n v="70"/>
  </r>
  <r>
    <x v="431"/>
    <x v="105"/>
    <x v="32"/>
    <x v="7"/>
    <n v="0.31"/>
    <n v="176"/>
    <n v="0.54"/>
    <x v="95"/>
    <n v="71"/>
  </r>
  <r>
    <x v="432"/>
    <x v="55"/>
    <x v="0"/>
    <x v="7"/>
    <n v="0.65"/>
    <n v="226"/>
    <n v="0.74"/>
    <x v="96"/>
    <n v="80"/>
  </r>
  <r>
    <x v="433"/>
    <x v="4"/>
    <x v="3"/>
    <x v="7"/>
    <n v="0.85"/>
    <n v="207"/>
    <n v="0.56000000000000005"/>
    <x v="55"/>
    <n v="83"/>
  </r>
  <r>
    <x v="434"/>
    <x v="4"/>
    <x v="3"/>
    <x v="7"/>
    <n v="0.82"/>
    <n v="226"/>
    <n v="0.8"/>
    <x v="62"/>
    <n v="69"/>
  </r>
  <r>
    <x v="435"/>
    <x v="58"/>
    <x v="0"/>
    <x v="7"/>
    <n v="0.82"/>
    <n v="219"/>
    <n v="0.91"/>
    <x v="12"/>
    <n v="78"/>
  </r>
  <r>
    <x v="436"/>
    <x v="58"/>
    <x v="0"/>
    <x v="7"/>
    <n v="0.74"/>
    <n v="231"/>
    <n v="0.8"/>
    <x v="5"/>
    <n v="75"/>
  </r>
  <r>
    <x v="437"/>
    <x v="152"/>
    <x v="0"/>
    <x v="7"/>
    <n v="0.33"/>
    <n v="216"/>
    <n v="0.62"/>
    <x v="72"/>
    <n v="75"/>
  </r>
  <r>
    <x v="438"/>
    <x v="153"/>
    <x v="3"/>
    <x v="7"/>
    <n v="0.93"/>
    <n v="224"/>
    <n v="0.72"/>
    <x v="16"/>
    <n v="70"/>
  </r>
  <r>
    <x v="439"/>
    <x v="45"/>
    <x v="6"/>
    <x v="7"/>
    <n v="0.71"/>
    <n v="208"/>
    <n v="0.91"/>
    <x v="88"/>
    <n v="69"/>
  </r>
  <r>
    <x v="440"/>
    <x v="154"/>
    <x v="42"/>
    <x v="7"/>
    <n v="0.37"/>
    <n v="180"/>
    <n v="0.5"/>
    <x v="97"/>
    <n v="59"/>
  </r>
  <r>
    <x v="441"/>
    <x v="135"/>
    <x v="0"/>
    <x v="7"/>
    <n v="0.7"/>
    <n v="218"/>
    <n v="0.82"/>
    <x v="42"/>
    <n v="59"/>
  </r>
  <r>
    <x v="442"/>
    <x v="107"/>
    <x v="0"/>
    <x v="7"/>
    <n v="0.72"/>
    <n v="251"/>
    <n v="0.76"/>
    <x v="66"/>
    <n v="78"/>
  </r>
  <r>
    <x v="443"/>
    <x v="155"/>
    <x v="18"/>
    <x v="7"/>
    <n v="0.53"/>
    <n v="189"/>
    <n v="0.91"/>
    <x v="35"/>
    <n v="71"/>
  </r>
  <r>
    <x v="444"/>
    <x v="46"/>
    <x v="16"/>
    <x v="7"/>
    <n v="0.43"/>
    <n v="282"/>
    <n v="0.88"/>
    <x v="23"/>
    <n v="41"/>
  </r>
  <r>
    <x v="445"/>
    <x v="156"/>
    <x v="0"/>
    <x v="7"/>
    <n v="0.61"/>
    <n v="289"/>
    <n v="0.67"/>
    <x v="98"/>
    <n v="77"/>
  </r>
  <r>
    <x v="446"/>
    <x v="157"/>
    <x v="43"/>
    <x v="7"/>
    <n v="0.65"/>
    <n v="206"/>
    <n v="0.72"/>
    <x v="42"/>
    <n v="82"/>
  </r>
  <r>
    <x v="447"/>
    <x v="136"/>
    <x v="0"/>
    <x v="7"/>
    <n v="0.77"/>
    <n v="202"/>
    <n v="0.74"/>
    <x v="12"/>
    <n v="66"/>
  </r>
  <r>
    <x v="448"/>
    <x v="136"/>
    <x v="0"/>
    <x v="7"/>
    <n v="0.65"/>
    <n v="236"/>
    <n v="0.69"/>
    <x v="66"/>
    <n v="62"/>
  </r>
  <r>
    <x v="449"/>
    <x v="136"/>
    <x v="0"/>
    <x v="7"/>
    <n v="0.76"/>
    <n v="202"/>
    <n v="0.77"/>
    <x v="12"/>
    <n v="43"/>
  </r>
  <r>
    <x v="450"/>
    <x v="108"/>
    <x v="3"/>
    <x v="7"/>
    <n v="0.83"/>
    <n v="234"/>
    <n v="0.65"/>
    <x v="76"/>
    <n v="87"/>
  </r>
  <r>
    <x v="451"/>
    <x v="109"/>
    <x v="0"/>
    <x v="7"/>
    <n v="0.74"/>
    <n v="189"/>
    <n v="0.53"/>
    <x v="46"/>
    <n v="59"/>
  </r>
  <r>
    <x v="452"/>
    <x v="158"/>
    <x v="7"/>
    <x v="7"/>
    <n v="0.74"/>
    <n v="184"/>
    <n v="0.9"/>
    <x v="39"/>
    <n v="55"/>
  </r>
  <r>
    <x v="453"/>
    <x v="159"/>
    <x v="0"/>
    <x v="7"/>
    <n v="0.74"/>
    <n v="184"/>
    <n v="0.79"/>
    <x v="5"/>
    <n v="75"/>
  </r>
  <r>
    <x v="454"/>
    <x v="13"/>
    <x v="0"/>
    <x v="7"/>
    <n v="0.84"/>
    <n v="243"/>
    <n v="0.71"/>
    <x v="12"/>
    <n v="73"/>
  </r>
  <r>
    <x v="455"/>
    <x v="13"/>
    <x v="0"/>
    <x v="7"/>
    <n v="0.45"/>
    <n v="238"/>
    <n v="0.8"/>
    <x v="82"/>
    <n v="72"/>
  </r>
  <r>
    <x v="456"/>
    <x v="13"/>
    <x v="0"/>
    <x v="7"/>
    <n v="0.8"/>
    <n v="228"/>
    <n v="0.79"/>
    <x v="87"/>
    <n v="68"/>
  </r>
  <r>
    <x v="457"/>
    <x v="14"/>
    <x v="0"/>
    <x v="7"/>
    <n v="0.57999999999999996"/>
    <n v="230"/>
    <n v="0.39"/>
    <x v="99"/>
    <n v="77"/>
  </r>
  <r>
    <x v="458"/>
    <x v="160"/>
    <x v="44"/>
    <x v="7"/>
    <n v="0.64"/>
    <n v="221"/>
    <n v="0.53"/>
    <x v="42"/>
    <n v="79"/>
  </r>
  <r>
    <x v="459"/>
    <x v="160"/>
    <x v="44"/>
    <x v="7"/>
    <n v="0.63"/>
    <n v="194"/>
    <n v="0.59"/>
    <x v="53"/>
    <n v="71"/>
  </r>
  <r>
    <x v="460"/>
    <x v="15"/>
    <x v="0"/>
    <x v="7"/>
    <n v="0.7"/>
    <n v="211"/>
    <n v="0.51"/>
    <x v="42"/>
    <n v="71"/>
  </r>
  <r>
    <x v="461"/>
    <x v="72"/>
    <x v="5"/>
    <x v="7"/>
    <n v="0.53"/>
    <n v="273"/>
    <n v="0.37"/>
    <x v="21"/>
    <n v="72"/>
  </r>
  <r>
    <x v="462"/>
    <x v="72"/>
    <x v="5"/>
    <x v="7"/>
    <n v="0.76"/>
    <n v="261"/>
    <n v="0.56999999999999995"/>
    <x v="6"/>
    <n v="67"/>
  </r>
  <r>
    <x v="463"/>
    <x v="72"/>
    <x v="5"/>
    <x v="7"/>
    <n v="0.51"/>
    <n v="264"/>
    <n v="0.67"/>
    <x v="42"/>
    <n v="54"/>
  </r>
  <r>
    <x v="464"/>
    <x v="161"/>
    <x v="0"/>
    <x v="7"/>
    <n v="0.87"/>
    <n v="202"/>
    <n v="0.5"/>
    <x v="87"/>
    <n v="69"/>
  </r>
  <r>
    <x v="465"/>
    <x v="73"/>
    <x v="0"/>
    <x v="7"/>
    <n v="0.64"/>
    <n v="203"/>
    <n v="0.75"/>
    <x v="66"/>
    <n v="59"/>
  </r>
  <r>
    <x v="466"/>
    <x v="116"/>
    <x v="35"/>
    <x v="7"/>
    <n v="0.73"/>
    <n v="158"/>
    <n v="0.64"/>
    <x v="20"/>
    <n v="59"/>
  </r>
  <r>
    <x v="467"/>
    <x v="162"/>
    <x v="38"/>
    <x v="7"/>
    <n v="0.65"/>
    <n v="229"/>
    <n v="0.82"/>
    <x v="100"/>
    <n v="76"/>
  </r>
  <r>
    <x v="468"/>
    <x v="16"/>
    <x v="3"/>
    <x v="7"/>
    <n v="0.69"/>
    <n v="234"/>
    <n v="0.72"/>
    <x v="42"/>
    <n v="72"/>
  </r>
  <r>
    <x v="469"/>
    <x v="144"/>
    <x v="7"/>
    <x v="7"/>
    <n v="0.61"/>
    <n v="222"/>
    <n v="0.64"/>
    <x v="87"/>
    <n v="76"/>
  </r>
  <r>
    <x v="470"/>
    <x v="76"/>
    <x v="0"/>
    <x v="7"/>
    <n v="0.56999999999999995"/>
    <n v="232"/>
    <n v="0.78"/>
    <x v="51"/>
    <n v="78"/>
  </r>
  <r>
    <x v="471"/>
    <x v="76"/>
    <x v="0"/>
    <x v="7"/>
    <n v="0.55000000000000004"/>
    <n v="249"/>
    <n v="0.87"/>
    <x v="20"/>
    <n v="62"/>
  </r>
  <r>
    <x v="472"/>
    <x v="163"/>
    <x v="0"/>
    <x v="7"/>
    <n v="0.74"/>
    <n v="188"/>
    <n v="0.42"/>
    <x v="60"/>
    <n v="64"/>
  </r>
  <r>
    <x v="473"/>
    <x v="122"/>
    <x v="0"/>
    <x v="7"/>
    <n v="0.68"/>
    <n v="202"/>
    <n v="0.53"/>
    <x v="85"/>
    <n v="53"/>
  </r>
  <r>
    <x v="474"/>
    <x v="20"/>
    <x v="0"/>
    <x v="7"/>
    <n v="0.4"/>
    <n v="201"/>
    <n v="0.87"/>
    <x v="34"/>
    <n v="70"/>
  </r>
  <r>
    <x v="475"/>
    <x v="20"/>
    <x v="0"/>
    <x v="7"/>
    <n v="0.69"/>
    <n v="223"/>
    <n v="0.76"/>
    <x v="42"/>
    <n v="57"/>
  </r>
  <r>
    <x v="476"/>
    <x v="43"/>
    <x v="0"/>
    <x v="7"/>
    <n v="0.7"/>
    <n v="245"/>
    <n v="0.83"/>
    <x v="88"/>
    <n v="54"/>
  </r>
  <r>
    <x v="477"/>
    <x v="43"/>
    <x v="0"/>
    <x v="7"/>
    <n v="0.56999999999999995"/>
    <n v="223"/>
    <n v="0.81"/>
    <x v="78"/>
    <n v="51"/>
  </r>
  <r>
    <x v="478"/>
    <x v="126"/>
    <x v="0"/>
    <x v="7"/>
    <n v="0.65"/>
    <n v="189"/>
    <n v="0.81"/>
    <x v="20"/>
    <n v="69"/>
  </r>
  <r>
    <x v="479"/>
    <x v="128"/>
    <x v="6"/>
    <x v="7"/>
    <n v="0.44"/>
    <n v="188"/>
    <n v="0.82"/>
    <x v="73"/>
    <n v="84"/>
  </r>
  <r>
    <x v="480"/>
    <x v="128"/>
    <x v="6"/>
    <x v="7"/>
    <n v="0.56000000000000005"/>
    <n v="209"/>
    <n v="0.66"/>
    <x v="23"/>
    <n v="81"/>
  </r>
  <r>
    <x v="481"/>
    <x v="103"/>
    <x v="30"/>
    <x v="7"/>
    <n v="0.67"/>
    <n v="210"/>
    <n v="0.73"/>
    <x v="75"/>
    <n v="76"/>
  </r>
  <r>
    <x v="482"/>
    <x v="103"/>
    <x v="30"/>
    <x v="7"/>
    <n v="0.27"/>
    <n v="286"/>
    <n v="0.46"/>
    <x v="14"/>
    <n v="44"/>
  </r>
  <r>
    <x v="483"/>
    <x v="129"/>
    <x v="0"/>
    <x v="7"/>
    <n v="0.71"/>
    <n v="203"/>
    <n v="0.87"/>
    <x v="16"/>
    <n v="70"/>
  </r>
  <r>
    <x v="484"/>
    <x v="104"/>
    <x v="31"/>
    <x v="7"/>
    <n v="0.75"/>
    <n v="245"/>
    <n v="0.52"/>
    <x v="48"/>
    <n v="86"/>
  </r>
  <r>
    <x v="485"/>
    <x v="104"/>
    <x v="31"/>
    <x v="7"/>
    <n v="0.61"/>
    <n v="248"/>
    <n v="0.65"/>
    <x v="22"/>
    <n v="78"/>
  </r>
  <r>
    <x v="486"/>
    <x v="104"/>
    <x v="31"/>
    <x v="7"/>
    <n v="0.65"/>
    <n v="222"/>
    <n v="0.64"/>
    <x v="42"/>
    <n v="76"/>
  </r>
  <r>
    <x v="487"/>
    <x v="130"/>
    <x v="32"/>
    <x v="7"/>
    <n v="0.68"/>
    <n v="230"/>
    <n v="0.59"/>
    <x v="1"/>
    <n v="85"/>
  </r>
  <r>
    <x v="488"/>
    <x v="130"/>
    <x v="32"/>
    <x v="7"/>
    <n v="0.77"/>
    <n v="269"/>
    <n v="0.82"/>
    <x v="3"/>
    <n v="81"/>
  </r>
  <r>
    <x v="489"/>
    <x v="148"/>
    <x v="0"/>
    <x v="7"/>
    <n v="0.77"/>
    <n v="225"/>
    <n v="0.59"/>
    <x v="34"/>
    <n v="54"/>
  </r>
  <r>
    <x v="490"/>
    <x v="150"/>
    <x v="0"/>
    <x v="7"/>
    <n v="0.74"/>
    <n v="245"/>
    <n v="0.45"/>
    <x v="70"/>
    <n v="78"/>
  </r>
  <r>
    <x v="491"/>
    <x v="84"/>
    <x v="24"/>
    <x v="7"/>
    <n v="0.69"/>
    <n v="210"/>
    <n v="0.62"/>
    <x v="66"/>
    <n v="80"/>
  </r>
  <r>
    <x v="492"/>
    <x v="84"/>
    <x v="24"/>
    <x v="7"/>
    <n v="0.72"/>
    <n v="205"/>
    <n v="0.93"/>
    <x v="49"/>
    <n v="66"/>
  </r>
  <r>
    <x v="493"/>
    <x v="164"/>
    <x v="0"/>
    <x v="8"/>
    <n v="0.77"/>
    <n v="191"/>
    <n v="0.62"/>
    <x v="51"/>
    <n v="72"/>
  </r>
  <r>
    <x v="494"/>
    <x v="55"/>
    <x v="0"/>
    <x v="8"/>
    <n v="0.7"/>
    <n v="206"/>
    <n v="0.71"/>
    <x v="20"/>
    <n v="84"/>
  </r>
  <r>
    <x v="495"/>
    <x v="134"/>
    <x v="0"/>
    <x v="8"/>
    <n v="0.57999999999999996"/>
    <n v="213"/>
    <n v="0.48"/>
    <x v="59"/>
    <n v="57"/>
  </r>
  <r>
    <x v="496"/>
    <x v="4"/>
    <x v="3"/>
    <x v="8"/>
    <n v="0.7"/>
    <n v="217"/>
    <n v="0.86"/>
    <x v="34"/>
    <n v="78"/>
  </r>
  <r>
    <x v="497"/>
    <x v="58"/>
    <x v="0"/>
    <x v="8"/>
    <n v="0.79"/>
    <n v="215"/>
    <n v="0.86"/>
    <x v="46"/>
    <n v="86"/>
  </r>
  <r>
    <x v="498"/>
    <x v="152"/>
    <x v="0"/>
    <x v="8"/>
    <n v="0.77"/>
    <n v="217"/>
    <n v="0.52"/>
    <x v="34"/>
    <n v="85"/>
  </r>
  <r>
    <x v="499"/>
    <x v="152"/>
    <x v="0"/>
    <x v="8"/>
    <n v="0.63"/>
    <n v="227"/>
    <n v="0.69"/>
    <x v="13"/>
    <n v="57"/>
  </r>
  <r>
    <x v="15"/>
    <x v="153"/>
    <x v="3"/>
    <x v="8"/>
    <n v="0.82"/>
    <n v="253"/>
    <n v="0.73"/>
    <x v="63"/>
    <n v="85"/>
  </r>
  <r>
    <x v="500"/>
    <x v="153"/>
    <x v="3"/>
    <x v="8"/>
    <n v="0.97"/>
    <n v="264"/>
    <n v="0.59"/>
    <x v="13"/>
    <n v="45"/>
  </r>
  <r>
    <x v="501"/>
    <x v="154"/>
    <x v="42"/>
    <x v="8"/>
    <n v="0.75"/>
    <n v="186"/>
    <n v="0.64"/>
    <x v="42"/>
    <n v="64"/>
  </r>
  <r>
    <x v="502"/>
    <x v="135"/>
    <x v="0"/>
    <x v="8"/>
    <n v="0.78"/>
    <n v="209"/>
    <n v="0.61"/>
    <x v="42"/>
    <n v="83"/>
  </r>
  <r>
    <x v="503"/>
    <x v="165"/>
    <x v="45"/>
    <x v="8"/>
    <n v="0.47"/>
    <n v="196"/>
    <n v="0.59"/>
    <x v="60"/>
    <n v="76"/>
  </r>
  <r>
    <x v="504"/>
    <x v="6"/>
    <x v="0"/>
    <x v="8"/>
    <n v="0.53"/>
    <n v="195"/>
    <n v="0.61"/>
    <x v="8"/>
    <n v="65"/>
  </r>
  <r>
    <x v="505"/>
    <x v="61"/>
    <x v="0"/>
    <x v="8"/>
    <n v="0.71"/>
    <n v="204"/>
    <n v="0.64"/>
    <x v="50"/>
    <n v="81"/>
  </r>
  <r>
    <x v="506"/>
    <x v="61"/>
    <x v="0"/>
    <x v="8"/>
    <n v="0.57999999999999996"/>
    <n v="182"/>
    <n v="0.77"/>
    <x v="66"/>
    <n v="44"/>
  </r>
  <r>
    <x v="507"/>
    <x v="156"/>
    <x v="0"/>
    <x v="8"/>
    <n v="0.67"/>
    <n v="204"/>
    <n v="0.67"/>
    <x v="47"/>
    <n v="76"/>
  </r>
  <r>
    <x v="447"/>
    <x v="136"/>
    <x v="0"/>
    <x v="8"/>
    <n v="0.77"/>
    <n v="202"/>
    <n v="0.74"/>
    <x v="12"/>
    <n v="66"/>
  </r>
  <r>
    <x v="508"/>
    <x v="166"/>
    <x v="0"/>
    <x v="8"/>
    <n v="0.84"/>
    <n v="218"/>
    <n v="0.54"/>
    <x v="33"/>
    <n v="84"/>
  </r>
  <r>
    <x v="509"/>
    <x v="166"/>
    <x v="0"/>
    <x v="8"/>
    <n v="0.76"/>
    <n v="209"/>
    <n v="0.7"/>
    <x v="56"/>
    <n v="84"/>
  </r>
  <r>
    <x v="510"/>
    <x v="166"/>
    <x v="0"/>
    <x v="8"/>
    <n v="0.56999999999999995"/>
    <n v="212"/>
    <n v="0.69"/>
    <x v="31"/>
    <n v="67"/>
  </r>
  <r>
    <x v="511"/>
    <x v="108"/>
    <x v="3"/>
    <x v="8"/>
    <n v="0.59"/>
    <n v="260"/>
    <n v="0.3"/>
    <x v="48"/>
    <n v="78"/>
  </r>
  <r>
    <x v="512"/>
    <x v="7"/>
    <x v="4"/>
    <x v="8"/>
    <n v="0.48"/>
    <n v="304"/>
    <n v="0.44"/>
    <x v="61"/>
    <n v="65"/>
  </r>
  <r>
    <x v="513"/>
    <x v="8"/>
    <x v="0"/>
    <x v="8"/>
    <n v="0.76"/>
    <n v="169"/>
    <n v="0.87"/>
    <x v="42"/>
    <n v="64"/>
  </r>
  <r>
    <x v="514"/>
    <x v="137"/>
    <x v="37"/>
    <x v="8"/>
    <n v="0.59"/>
    <n v="269"/>
    <n v="0.73"/>
    <x v="101"/>
    <n v="78"/>
  </r>
  <r>
    <x v="515"/>
    <x v="138"/>
    <x v="0"/>
    <x v="8"/>
    <n v="0.66"/>
    <n v="175"/>
    <n v="0.71"/>
    <x v="22"/>
    <n v="82"/>
  </r>
  <r>
    <x v="516"/>
    <x v="138"/>
    <x v="0"/>
    <x v="8"/>
    <n v="0.66"/>
    <n v="219"/>
    <n v="0.81"/>
    <x v="42"/>
    <n v="76"/>
  </r>
  <r>
    <x v="517"/>
    <x v="167"/>
    <x v="0"/>
    <x v="8"/>
    <n v="0.68"/>
    <n v="181"/>
    <n v="0.75"/>
    <x v="70"/>
    <n v="78"/>
  </r>
  <r>
    <x v="518"/>
    <x v="168"/>
    <x v="0"/>
    <x v="8"/>
    <n v="0.52"/>
    <n v="341"/>
    <n v="0.56999999999999995"/>
    <x v="12"/>
    <n v="72"/>
  </r>
  <r>
    <x v="519"/>
    <x v="169"/>
    <x v="0"/>
    <x v="8"/>
    <n v="0.63"/>
    <n v="220"/>
    <n v="0.79"/>
    <x v="5"/>
    <n v="67"/>
  </r>
  <r>
    <x v="520"/>
    <x v="170"/>
    <x v="38"/>
    <x v="8"/>
    <n v="0.76"/>
    <n v="210"/>
    <n v="0.72"/>
    <x v="34"/>
    <n v="68"/>
  </r>
  <r>
    <x v="521"/>
    <x v="12"/>
    <x v="6"/>
    <x v="8"/>
    <n v="0.74"/>
    <n v="189"/>
    <n v="0.73"/>
    <x v="34"/>
    <n v="77"/>
  </r>
  <r>
    <x v="206"/>
    <x v="69"/>
    <x v="0"/>
    <x v="8"/>
    <n v="0.71"/>
    <n v="279"/>
    <n v="0.63"/>
    <x v="33"/>
    <n v="74"/>
  </r>
  <r>
    <x v="522"/>
    <x v="69"/>
    <x v="0"/>
    <x v="8"/>
    <n v="0.75"/>
    <n v="294"/>
    <n v="0.57999999999999996"/>
    <x v="33"/>
    <n v="62"/>
  </r>
  <r>
    <x v="523"/>
    <x v="69"/>
    <x v="0"/>
    <x v="8"/>
    <n v="0.79"/>
    <n v="226"/>
    <n v="0.55000000000000004"/>
    <x v="12"/>
    <n v="57"/>
  </r>
  <r>
    <x v="459"/>
    <x v="160"/>
    <x v="44"/>
    <x v="8"/>
    <n v="0.63"/>
    <n v="194"/>
    <n v="0.59"/>
    <x v="53"/>
    <n v="71"/>
  </r>
  <r>
    <x v="524"/>
    <x v="15"/>
    <x v="0"/>
    <x v="8"/>
    <n v="0.56999999999999995"/>
    <n v="217"/>
    <n v="0.33"/>
    <x v="76"/>
    <n v="80"/>
  </r>
  <r>
    <x v="525"/>
    <x v="161"/>
    <x v="0"/>
    <x v="8"/>
    <n v="0.64"/>
    <n v="197"/>
    <n v="0.81"/>
    <x v="3"/>
    <n v="72"/>
  </r>
  <r>
    <x v="526"/>
    <x v="161"/>
    <x v="0"/>
    <x v="8"/>
    <n v="0.54"/>
    <n v="243"/>
    <n v="0.8"/>
    <x v="85"/>
    <n v="67"/>
  </r>
  <r>
    <x v="527"/>
    <x v="16"/>
    <x v="3"/>
    <x v="8"/>
    <n v="0.8"/>
    <n v="200"/>
    <n v="0.6"/>
    <x v="39"/>
    <n v="79"/>
  </r>
  <r>
    <x v="528"/>
    <x v="16"/>
    <x v="3"/>
    <x v="8"/>
    <n v="0.66"/>
    <n v="191"/>
    <n v="0.6"/>
    <x v="25"/>
    <n v="67"/>
  </r>
  <r>
    <x v="529"/>
    <x v="171"/>
    <x v="46"/>
    <x v="8"/>
    <n v="0.52"/>
    <n v="181"/>
    <n v="0.76"/>
    <x v="91"/>
    <n v="82"/>
  </r>
  <r>
    <x v="530"/>
    <x v="172"/>
    <x v="37"/>
    <x v="8"/>
    <n v="0.92"/>
    <n v="220"/>
    <n v="0.73"/>
    <x v="48"/>
    <n v="68"/>
  </r>
  <r>
    <x v="531"/>
    <x v="163"/>
    <x v="0"/>
    <x v="8"/>
    <n v="0.68"/>
    <n v="233"/>
    <n v="0.41"/>
    <x v="29"/>
    <n v="64"/>
  </r>
  <r>
    <x v="532"/>
    <x v="41"/>
    <x v="0"/>
    <x v="8"/>
    <n v="0.69"/>
    <n v="192"/>
    <n v="0.73"/>
    <x v="15"/>
    <n v="73"/>
  </r>
  <r>
    <x v="533"/>
    <x v="42"/>
    <x v="0"/>
    <x v="8"/>
    <n v="0.39"/>
    <n v="272"/>
    <n v="0.59"/>
    <x v="57"/>
    <n v="66"/>
  </r>
  <r>
    <x v="534"/>
    <x v="173"/>
    <x v="47"/>
    <x v="8"/>
    <n v="0.75"/>
    <n v="248"/>
    <n v="0.76"/>
    <x v="39"/>
    <n v="53"/>
  </r>
  <r>
    <x v="535"/>
    <x v="21"/>
    <x v="9"/>
    <x v="8"/>
    <n v="0.51"/>
    <n v="224"/>
    <n v="0.64"/>
    <x v="102"/>
    <n v="82"/>
  </r>
  <r>
    <x v="536"/>
    <x v="174"/>
    <x v="0"/>
    <x v="8"/>
    <n v="0.63"/>
    <n v="215"/>
    <n v="0.8"/>
    <x v="62"/>
    <n v="74"/>
  </r>
  <r>
    <x v="537"/>
    <x v="174"/>
    <x v="0"/>
    <x v="8"/>
    <n v="0.73"/>
    <n v="221"/>
    <n v="0.69"/>
    <x v="35"/>
    <n v="64"/>
  </r>
  <r>
    <x v="538"/>
    <x v="127"/>
    <x v="0"/>
    <x v="8"/>
    <n v="0.65"/>
    <n v="211"/>
    <n v="0.81"/>
    <x v="31"/>
    <n v="80"/>
  </r>
  <r>
    <x v="539"/>
    <x v="80"/>
    <x v="0"/>
    <x v="8"/>
    <n v="0.72"/>
    <n v="198"/>
    <n v="0.8"/>
    <x v="16"/>
    <n v="83"/>
  </r>
  <r>
    <x v="540"/>
    <x v="80"/>
    <x v="0"/>
    <x v="8"/>
    <n v="0.97"/>
    <n v="215"/>
    <n v="0.41"/>
    <x v="27"/>
    <n v="75"/>
  </r>
  <r>
    <x v="541"/>
    <x v="128"/>
    <x v="6"/>
    <x v="8"/>
    <n v="0.87"/>
    <n v="199"/>
    <n v="0.81"/>
    <x v="20"/>
    <n v="84"/>
  </r>
  <r>
    <x v="542"/>
    <x v="128"/>
    <x v="6"/>
    <x v="8"/>
    <n v="0.62"/>
    <n v="211"/>
    <n v="0.71"/>
    <x v="51"/>
    <n v="83"/>
  </r>
  <r>
    <x v="543"/>
    <x v="128"/>
    <x v="6"/>
    <x v="8"/>
    <n v="0.53"/>
    <n v="191"/>
    <n v="0.6"/>
    <x v="42"/>
    <n v="75"/>
  </r>
  <r>
    <x v="544"/>
    <x v="128"/>
    <x v="6"/>
    <x v="8"/>
    <n v="0.84"/>
    <n v="164"/>
    <n v="0.62"/>
    <x v="20"/>
    <n v="71"/>
  </r>
  <r>
    <x v="545"/>
    <x v="175"/>
    <x v="44"/>
    <x v="8"/>
    <n v="0.59"/>
    <n v="238"/>
    <n v="0.67"/>
    <x v="70"/>
    <n v="82"/>
  </r>
  <r>
    <x v="546"/>
    <x v="53"/>
    <x v="3"/>
    <x v="8"/>
    <n v="0.77"/>
    <n v="212"/>
    <n v="0.71"/>
    <x v="17"/>
    <n v="75"/>
  </r>
  <r>
    <x v="547"/>
    <x v="53"/>
    <x v="3"/>
    <x v="8"/>
    <n v="0.65"/>
    <n v="245"/>
    <n v="0.59"/>
    <x v="96"/>
    <n v="70"/>
  </r>
  <r>
    <x v="548"/>
    <x v="53"/>
    <x v="3"/>
    <x v="8"/>
    <n v="0.57999999999999996"/>
    <n v="190"/>
    <n v="0.84"/>
    <x v="54"/>
    <n v="52"/>
  </r>
  <r>
    <x v="549"/>
    <x v="104"/>
    <x v="31"/>
    <x v="8"/>
    <n v="0.66"/>
    <n v="193"/>
    <n v="0.57999999999999996"/>
    <x v="53"/>
    <n v="76"/>
  </r>
  <r>
    <x v="550"/>
    <x v="176"/>
    <x v="0"/>
    <x v="8"/>
    <n v="0.7"/>
    <n v="205"/>
    <n v="0.46"/>
    <x v="22"/>
    <n v="76"/>
  </r>
  <r>
    <x v="551"/>
    <x v="150"/>
    <x v="0"/>
    <x v="8"/>
    <n v="0.26"/>
    <n v="239"/>
    <n v="0.44"/>
    <x v="67"/>
    <n v="83"/>
  </r>
  <r>
    <x v="552"/>
    <x v="150"/>
    <x v="0"/>
    <x v="8"/>
    <n v="0.46"/>
    <n v="185"/>
    <n v="0.56999999999999995"/>
    <x v="103"/>
    <n v="72"/>
  </r>
  <r>
    <x v="553"/>
    <x v="58"/>
    <x v="0"/>
    <x v="9"/>
    <n v="0.81"/>
    <n v="229"/>
    <n v="0.89"/>
    <x v="20"/>
    <n v="84"/>
  </r>
  <r>
    <x v="554"/>
    <x v="34"/>
    <x v="0"/>
    <x v="9"/>
    <n v="0.7"/>
    <n v="261"/>
    <n v="0.45"/>
    <x v="3"/>
    <n v="81"/>
  </r>
  <r>
    <x v="555"/>
    <x v="177"/>
    <x v="38"/>
    <x v="9"/>
    <n v="0.74"/>
    <n v="181"/>
    <n v="0.87"/>
    <x v="35"/>
    <n v="76"/>
  </r>
  <r>
    <x v="556"/>
    <x v="156"/>
    <x v="0"/>
    <x v="9"/>
    <n v="0.53"/>
    <n v="260"/>
    <n v="0.76"/>
    <x v="63"/>
    <n v="70"/>
  </r>
  <r>
    <x v="557"/>
    <x v="157"/>
    <x v="43"/>
    <x v="9"/>
    <n v="0.84"/>
    <n v="213"/>
    <n v="0.8"/>
    <x v="76"/>
    <n v="77"/>
  </r>
  <r>
    <x v="558"/>
    <x v="108"/>
    <x v="3"/>
    <x v="9"/>
    <n v="0.86"/>
    <n v="204"/>
    <n v="0.62"/>
    <x v="47"/>
    <n v="92"/>
  </r>
  <r>
    <x v="559"/>
    <x v="108"/>
    <x v="3"/>
    <x v="9"/>
    <n v="0.64"/>
    <n v="198"/>
    <n v="0.65"/>
    <x v="3"/>
    <n v="86"/>
  </r>
  <r>
    <x v="560"/>
    <x v="108"/>
    <x v="3"/>
    <x v="9"/>
    <n v="0.8"/>
    <n v="220"/>
    <n v="0.68"/>
    <x v="66"/>
    <n v="85"/>
  </r>
  <r>
    <x v="561"/>
    <x v="108"/>
    <x v="3"/>
    <x v="9"/>
    <n v="0.72"/>
    <n v="162"/>
    <n v="0.82"/>
    <x v="45"/>
    <n v="78"/>
  </r>
  <r>
    <x v="562"/>
    <x v="108"/>
    <x v="3"/>
    <x v="9"/>
    <n v="0.75"/>
    <n v="206"/>
    <n v="0.79"/>
    <x v="48"/>
    <n v="75"/>
  </r>
  <r>
    <x v="563"/>
    <x v="68"/>
    <x v="18"/>
    <x v="9"/>
    <n v="0.8"/>
    <n v="183"/>
    <n v="0.5"/>
    <x v="35"/>
    <n v="87"/>
  </r>
  <r>
    <x v="564"/>
    <x v="68"/>
    <x v="18"/>
    <x v="9"/>
    <n v="0.84"/>
    <n v="181"/>
    <n v="0.73"/>
    <x v="0"/>
    <n v="86"/>
  </r>
  <r>
    <x v="565"/>
    <x v="178"/>
    <x v="48"/>
    <x v="9"/>
    <n v="0.9"/>
    <n v="198"/>
    <n v="0.4"/>
    <x v="63"/>
    <n v="84"/>
  </r>
  <r>
    <x v="566"/>
    <x v="160"/>
    <x v="44"/>
    <x v="9"/>
    <n v="0.69"/>
    <n v="228"/>
    <n v="0.68"/>
    <x v="5"/>
    <n v="88"/>
  </r>
  <r>
    <x v="567"/>
    <x v="179"/>
    <x v="3"/>
    <x v="9"/>
    <n v="0.5"/>
    <n v="182"/>
    <n v="0.41"/>
    <x v="39"/>
    <n v="96"/>
  </r>
  <r>
    <x v="568"/>
    <x v="180"/>
    <x v="49"/>
    <x v="9"/>
    <n v="0.67"/>
    <n v="159"/>
    <n v="0.89"/>
    <x v="76"/>
    <n v="90"/>
  </r>
  <r>
    <x v="569"/>
    <x v="180"/>
    <x v="49"/>
    <x v="9"/>
    <n v="0.72"/>
    <n v="173"/>
    <n v="0.62"/>
    <x v="78"/>
    <n v="90"/>
  </r>
  <r>
    <x v="570"/>
    <x v="181"/>
    <x v="0"/>
    <x v="9"/>
    <n v="0.67"/>
    <n v="178"/>
    <n v="0.88"/>
    <x v="21"/>
    <n v="86"/>
  </r>
  <r>
    <x v="571"/>
    <x v="118"/>
    <x v="0"/>
    <x v="9"/>
    <n v="0.61"/>
    <n v="176"/>
    <n v="0.66"/>
    <x v="5"/>
    <n v="75"/>
  </r>
  <r>
    <x v="572"/>
    <x v="118"/>
    <x v="0"/>
    <x v="9"/>
    <n v="0.6"/>
    <n v="217"/>
    <n v="0.79"/>
    <x v="57"/>
    <n v="69"/>
  </r>
  <r>
    <x v="573"/>
    <x v="16"/>
    <x v="3"/>
    <x v="9"/>
    <n v="0.76"/>
    <n v="189"/>
    <n v="0.32"/>
    <x v="32"/>
    <n v="99"/>
  </r>
  <r>
    <x v="574"/>
    <x v="16"/>
    <x v="3"/>
    <x v="9"/>
    <n v="0.85"/>
    <n v="236"/>
    <n v="0.54"/>
    <x v="16"/>
    <n v="81"/>
  </r>
  <r>
    <x v="575"/>
    <x v="171"/>
    <x v="46"/>
    <x v="9"/>
    <n v="0.69"/>
    <n v="214"/>
    <n v="0.79"/>
    <x v="42"/>
    <n v="90"/>
  </r>
  <r>
    <x v="576"/>
    <x v="182"/>
    <x v="7"/>
    <x v="9"/>
    <n v="0.73"/>
    <n v="148"/>
    <n v="0.86"/>
    <x v="16"/>
    <n v="82"/>
  </r>
  <r>
    <x v="577"/>
    <x v="102"/>
    <x v="3"/>
    <x v="9"/>
    <n v="0.48"/>
    <n v="202"/>
    <n v="0.68"/>
    <x v="4"/>
    <n v="93"/>
  </r>
  <r>
    <x v="578"/>
    <x v="80"/>
    <x v="0"/>
    <x v="9"/>
    <n v="0.51"/>
    <n v="206"/>
    <n v="0.34"/>
    <x v="66"/>
    <n v="97"/>
  </r>
  <r>
    <x v="579"/>
    <x v="183"/>
    <x v="31"/>
    <x v="9"/>
    <n v="0.62"/>
    <n v="184"/>
    <n v="0.46"/>
    <x v="36"/>
    <n v="92"/>
  </r>
  <r>
    <x v="580"/>
    <x v="128"/>
    <x v="6"/>
    <x v="9"/>
    <n v="0.76"/>
    <n v="191"/>
    <n v="0.54"/>
    <x v="58"/>
    <n v="95"/>
  </r>
  <r>
    <x v="581"/>
    <x v="104"/>
    <x v="31"/>
    <x v="9"/>
    <n v="0.53"/>
    <n v="210"/>
    <n v="0.51"/>
    <x v="42"/>
    <n v="83"/>
  </r>
  <r>
    <x v="582"/>
    <x v="104"/>
    <x v="31"/>
    <x v="9"/>
    <n v="0.59"/>
    <n v="218"/>
    <n v="0.7"/>
    <x v="5"/>
    <n v="81"/>
  </r>
  <r>
    <x v="583"/>
    <x v="104"/>
    <x v="31"/>
    <x v="9"/>
    <n v="0.7"/>
    <n v="213"/>
    <n v="0.44"/>
    <x v="10"/>
    <n v="67"/>
  </r>
  <r>
    <x v="584"/>
    <x v="184"/>
    <x v="50"/>
    <x v="10"/>
    <m/>
    <m/>
    <m/>
    <x v="10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5">
  <r>
    <s v="Drip (feat. Migos)"/>
    <s v="Cardi B"/>
    <s v="pop"/>
    <x v="0"/>
    <n v="0.97"/>
    <n v="264"/>
    <n v="0.59"/>
    <x v="0"/>
    <n v="45"/>
    <x v="0"/>
  </r>
  <r>
    <s v="Bad Liar"/>
    <s v="Selena Gomez"/>
    <s v="dance pop"/>
    <x v="0"/>
    <n v="0.97"/>
    <n v="215"/>
    <n v="0.41"/>
    <x v="1"/>
    <n v="75"/>
    <x v="0"/>
  </r>
  <r>
    <s v="Anaconda"/>
    <s v="Nicki Minaj"/>
    <s v="dance pop"/>
    <x v="1"/>
    <n v="0.96"/>
    <n v="260"/>
    <n v="0.6"/>
    <x v="0"/>
    <n v="50"/>
    <x v="0"/>
  </r>
  <r>
    <s v="Come Get It Bae"/>
    <s v="Pharrell Williams"/>
    <s v="dance pop"/>
    <x v="1"/>
    <n v="0.93"/>
    <n v="202"/>
    <n v="0.8"/>
    <x v="2"/>
    <n v="59"/>
    <x v="0"/>
  </r>
  <r>
    <s v="Me Too"/>
    <s v="Meghan Trainor"/>
    <s v="dance pop"/>
    <x v="2"/>
    <n v="0.93"/>
    <n v="181"/>
    <n v="0.69"/>
    <x v="3"/>
    <n v="73"/>
    <x v="0"/>
  </r>
  <r>
    <s v="WTF (Where They From)"/>
    <s v="Missy Elliott"/>
    <s v="dance pop"/>
    <x v="2"/>
    <n v="0.93"/>
    <n v="193"/>
    <n v="0.82"/>
    <x v="2"/>
    <n v="58"/>
    <x v="0"/>
  </r>
  <r>
    <s v="Bodak Yellow"/>
    <s v="Cardi B"/>
    <s v="pop"/>
    <x v="3"/>
    <n v="0.93"/>
    <n v="224"/>
    <n v="0.72"/>
    <x v="4"/>
    <n v="70"/>
    <x v="0"/>
  </r>
  <r>
    <s v="Lemon"/>
    <s v="N.E.R.D"/>
    <s v="hip hop"/>
    <x v="0"/>
    <n v="0.92"/>
    <n v="220"/>
    <n v="0.73"/>
    <x v="5"/>
    <n v="68"/>
    <x v="1"/>
  </r>
  <r>
    <s v="Fancy"/>
    <s v="Iggy Azalea"/>
    <s v="australian hip hop"/>
    <x v="1"/>
    <n v="0.91"/>
    <n v="200"/>
    <n v="0.72"/>
    <x v="5"/>
    <n v="70"/>
    <x v="1"/>
  </r>
  <r>
    <s v="Dangerous"/>
    <s v="Jennifer Hudson"/>
    <s v="dance pop"/>
    <x v="4"/>
    <n v="0.9"/>
    <n v="255"/>
    <n v="0.53"/>
    <x v="6"/>
    <n v="18"/>
    <x v="0"/>
  </r>
  <r>
    <s v="Talk (feat. Disclosure)"/>
    <s v="Khalid"/>
    <s v="alternative r&amp;b"/>
    <x v="5"/>
    <n v="0.9"/>
    <n v="198"/>
    <n v="0.4"/>
    <x v="7"/>
    <n v="84"/>
    <x v="0"/>
  </r>
  <r>
    <s v="Worth It"/>
    <s v="Fifth Harmony"/>
    <s v="dance pop"/>
    <x v="4"/>
    <n v="0.88"/>
    <n v="225"/>
    <n v="0.77"/>
    <x v="8"/>
    <n v="75"/>
    <x v="0"/>
  </r>
  <r>
    <s v="Spark The Fire"/>
    <s v="Gwen Stefani"/>
    <s v="dance pop"/>
    <x v="4"/>
    <n v="0.88"/>
    <n v="202"/>
    <n v="0.8"/>
    <x v="2"/>
    <n v="39"/>
    <x v="0"/>
  </r>
  <r>
    <s v="Treasure"/>
    <s v="Bruno Mars"/>
    <s v="pop"/>
    <x v="1"/>
    <n v="0.87"/>
    <n v="179"/>
    <n v="0.69"/>
    <x v="9"/>
    <n v="77"/>
    <x v="0"/>
  </r>
  <r>
    <s v="Strip That Down (feat. Quavo)"/>
    <s v="Liam Payne"/>
    <s v="dance pop"/>
    <x v="3"/>
    <n v="0.87"/>
    <n v="202"/>
    <n v="0.5"/>
    <x v="10"/>
    <n v="69"/>
    <x v="0"/>
  </r>
  <r>
    <s v="There's Nothing Holdin' Me Back"/>
    <s v="Shawn Mendes"/>
    <s v="canadian pop"/>
    <x v="0"/>
    <n v="0.87"/>
    <n v="199"/>
    <n v="0.81"/>
    <x v="11"/>
    <n v="84"/>
    <x v="0"/>
  </r>
  <r>
    <s v="Love You Like A Love Song"/>
    <s v="Selena Gomez &amp; The Scene"/>
    <s v="dance pop"/>
    <x v="6"/>
    <n v="0.86"/>
    <n v="188"/>
    <n v="0.68"/>
    <x v="12"/>
    <n v="76"/>
    <x v="0"/>
  </r>
  <r>
    <s v="Uptown Funk"/>
    <s v="Mark Ronson"/>
    <s v="dance pop"/>
    <x v="4"/>
    <n v="0.86"/>
    <n v="270"/>
    <n v="0.61"/>
    <x v="13"/>
    <n v="82"/>
    <x v="0"/>
  </r>
  <r>
    <s v="South of the Border (feat. Camila Cabello &amp; Cardi B)"/>
    <s v="Ed Sheeran"/>
    <s v="pop"/>
    <x v="5"/>
    <n v="0.86"/>
    <n v="204"/>
    <n v="0.62"/>
    <x v="14"/>
    <n v="92"/>
    <x v="1"/>
  </r>
  <r>
    <s v="Move"/>
    <s v="Little Mix"/>
    <s v="dance pop"/>
    <x v="7"/>
    <n v="0.85"/>
    <n v="224"/>
    <n v="0.74"/>
    <x v="1"/>
    <n v="63"/>
    <x v="0"/>
  </r>
  <r>
    <s v="Blurred Lines"/>
    <s v="Robin Thicke"/>
    <s v="dance pop"/>
    <x v="7"/>
    <n v="0.85"/>
    <n v="264"/>
    <n v="0.6"/>
    <x v="2"/>
    <n v="76"/>
    <x v="0"/>
  </r>
  <r>
    <s v="Sparks"/>
    <s v="Hilary Duff"/>
    <s v="dance pop"/>
    <x v="4"/>
    <n v="0.85"/>
    <n v="186"/>
    <n v="0.88"/>
    <x v="11"/>
    <n v="44"/>
    <x v="0"/>
  </r>
  <r>
    <s v="What Do You Mean?"/>
    <s v="Justin Bieber"/>
    <s v="canadian pop"/>
    <x v="4"/>
    <n v="0.85"/>
    <n v="206"/>
    <n v="0.56999999999999995"/>
    <x v="4"/>
    <n v="79"/>
    <x v="0"/>
  </r>
  <r>
    <s v="That's What I Like"/>
    <s v="Bruno Mars"/>
    <s v="pop"/>
    <x v="3"/>
    <n v="0.85"/>
    <n v="207"/>
    <n v="0.56000000000000005"/>
    <x v="15"/>
    <n v="83"/>
    <x v="0"/>
  </r>
  <r>
    <s v="Girls Like You (feat. Cardi B)"/>
    <s v="Maroon 5"/>
    <s v="pop"/>
    <x v="5"/>
    <n v="0.85"/>
    <n v="236"/>
    <n v="0.54"/>
    <x v="4"/>
    <n v="81"/>
    <x v="0"/>
  </r>
  <r>
    <s v="Swish Swish"/>
    <s v="Katy Perry"/>
    <s v="dance pop"/>
    <x v="3"/>
    <n v="0.84"/>
    <n v="243"/>
    <n v="0.71"/>
    <x v="2"/>
    <n v="73"/>
    <x v="0"/>
  </r>
  <r>
    <s v="IDGAF"/>
    <s v="Dua Lipa"/>
    <s v="dance pop"/>
    <x v="0"/>
    <n v="0.84"/>
    <n v="218"/>
    <n v="0.54"/>
    <x v="16"/>
    <n v="84"/>
    <x v="1"/>
  </r>
  <r>
    <s v="Nervous"/>
    <s v="Shawn Mendes"/>
    <s v="canadian pop"/>
    <x v="0"/>
    <n v="0.84"/>
    <n v="164"/>
    <n v="0.62"/>
    <x v="11"/>
    <n v="71"/>
    <x v="0"/>
  </r>
  <r>
    <s v="Taki Taki (feat. Selena Gomez, Ozuna &amp; Cardi B)"/>
    <s v="DJ Snake"/>
    <s v="electronic trap"/>
    <x v="5"/>
    <n v="0.84"/>
    <n v="213"/>
    <n v="0.8"/>
    <x v="17"/>
    <n v="77"/>
    <x v="1"/>
  </r>
  <r>
    <s v="Sucker"/>
    <s v="Jonas Brothers"/>
    <s v="boy band"/>
    <x v="5"/>
    <n v="0.84"/>
    <n v="181"/>
    <n v="0.73"/>
    <x v="18"/>
    <n v="86"/>
    <x v="0"/>
  </r>
  <r>
    <s v="Your Love Is My Drug"/>
    <s v="Kesha"/>
    <s v="dance pop"/>
    <x v="8"/>
    <n v="0.83"/>
    <n v="187"/>
    <n v="0.61"/>
    <x v="2"/>
    <n v="69"/>
    <x v="0"/>
  </r>
  <r>
    <s v="Telephone"/>
    <s v="Lady Gaga"/>
    <s v="dance pop"/>
    <x v="8"/>
    <n v="0.83"/>
    <n v="221"/>
    <n v="0.83"/>
    <x v="11"/>
    <n v="73"/>
    <x v="0"/>
  </r>
  <r>
    <s v="Lose Yourself to Dance"/>
    <s v="Daft Punk"/>
    <s v="electro"/>
    <x v="7"/>
    <n v="0.83"/>
    <n v="354"/>
    <n v="0.66"/>
    <x v="8"/>
    <n v="72"/>
    <x v="0"/>
  </r>
  <r>
    <s v="Downtown (feat. Melle Mel, Grandmaster Caz, Kool Moe Dee &amp; Eric Nally)"/>
    <s v="Macklemore &amp; Ryan Lewis"/>
    <s v="dance pop"/>
    <x v="4"/>
    <n v="0.83"/>
    <n v="293"/>
    <n v="0.61"/>
    <x v="19"/>
    <n v="70"/>
    <x v="0"/>
  </r>
  <r>
    <s v="Waves - Robin Schulz Radio Edit"/>
    <s v="Mr. Probz"/>
    <s v="tropical house"/>
    <x v="4"/>
    <n v="0.83"/>
    <n v="208"/>
    <n v="0.51"/>
    <x v="2"/>
    <n v="77"/>
    <x v="0"/>
  </r>
  <r>
    <s v="BURNITUP!"/>
    <s v="Janet Jackson"/>
    <s v="dance pop"/>
    <x v="2"/>
    <n v="0.83"/>
    <n v="250"/>
    <n v="0.71"/>
    <x v="20"/>
    <n v="31"/>
    <x v="0"/>
  </r>
  <r>
    <s v="Pep Rally"/>
    <s v="Missy Elliott"/>
    <s v="dance pop"/>
    <x v="2"/>
    <n v="0.83"/>
    <n v="263"/>
    <n v="0.75"/>
    <x v="21"/>
    <n v="47"/>
    <x v="1"/>
  </r>
  <r>
    <s v="Shape of You"/>
    <s v="Ed Sheeran"/>
    <s v="pop"/>
    <x v="3"/>
    <n v="0.83"/>
    <n v="234"/>
    <n v="0.65"/>
    <x v="17"/>
    <n v="87"/>
    <x v="1"/>
  </r>
  <r>
    <s v="The Time (Dirty Bit)"/>
    <s v="The Black Eyed Peas"/>
    <s v="dance pop"/>
    <x v="8"/>
    <n v="0.82"/>
    <n v="308"/>
    <n v="0.81"/>
    <x v="22"/>
    <n v="70"/>
    <x v="0"/>
  </r>
  <r>
    <s v="S&amp;M Remix"/>
    <s v="Rihanna"/>
    <s v="barbadian pop"/>
    <x v="9"/>
    <n v="0.82"/>
    <n v="257"/>
    <n v="0.81"/>
    <x v="22"/>
    <n v="54"/>
    <x v="0"/>
  </r>
  <r>
    <s v="Sing"/>
    <s v="Ed Sheeran"/>
    <s v="pop"/>
    <x v="4"/>
    <n v="0.82"/>
    <n v="235"/>
    <n v="0.67"/>
    <x v="2"/>
    <n v="71"/>
    <x v="0"/>
  </r>
  <r>
    <s v="24K Magic"/>
    <s v="Bruno Mars"/>
    <s v="pop"/>
    <x v="3"/>
    <n v="0.82"/>
    <n v="226"/>
    <n v="0.8"/>
    <x v="23"/>
    <n v="69"/>
    <x v="0"/>
  </r>
  <r>
    <s v="My Way"/>
    <s v="Calvin Harris"/>
    <s v="dance pop"/>
    <x v="3"/>
    <n v="0.82"/>
    <n v="219"/>
    <n v="0.91"/>
    <x v="2"/>
    <n v="78"/>
    <x v="0"/>
  </r>
  <r>
    <s v="I Like It"/>
    <s v="Cardi B"/>
    <s v="pop"/>
    <x v="0"/>
    <n v="0.82"/>
    <n v="253"/>
    <n v="0.73"/>
    <x v="7"/>
    <n v="85"/>
    <x v="0"/>
  </r>
  <r>
    <s v="Sexy Bitch (feat. Akon)"/>
    <s v="David Guetta"/>
    <s v="dance pop"/>
    <x v="8"/>
    <n v="0.81"/>
    <n v="196"/>
    <n v="0.63"/>
    <x v="0"/>
    <n v="61"/>
    <x v="0"/>
  </r>
  <r>
    <s v="Don't"/>
    <s v="Ed Sheeran"/>
    <s v="pop"/>
    <x v="4"/>
    <n v="0.81"/>
    <n v="220"/>
    <n v="0.61"/>
    <x v="5"/>
    <n v="74"/>
    <x v="1"/>
  </r>
  <r>
    <s v="BO$$"/>
    <s v="Fifth Harmony"/>
    <s v="dance pop"/>
    <x v="4"/>
    <n v="0.81"/>
    <n v="171"/>
    <n v="0.87"/>
    <x v="24"/>
    <n v="66"/>
    <x v="0"/>
  </r>
  <r>
    <s v="All About That Bass"/>
    <s v="Meghan Trainor"/>
    <s v="dance pop"/>
    <x v="4"/>
    <n v="0.81"/>
    <n v="189"/>
    <n v="0.88"/>
    <x v="15"/>
    <n v="65"/>
    <x v="0"/>
  </r>
  <r>
    <s v="Hands To Myself"/>
    <s v="Selena Gomez"/>
    <s v="dance pop"/>
    <x v="2"/>
    <n v="0.81"/>
    <n v="201"/>
    <n v="0.5"/>
    <x v="25"/>
    <n v="71"/>
    <x v="0"/>
  </r>
  <r>
    <s v="Giant (with Rag'n'Bone Man)"/>
    <s v="Calvin Harris"/>
    <s v="dance pop"/>
    <x v="5"/>
    <n v="0.81"/>
    <n v="229"/>
    <n v="0.89"/>
    <x v="11"/>
    <n v="84"/>
    <x v="0"/>
  </r>
  <r>
    <s v="Loca"/>
    <s v="Shakira"/>
    <s v="colombian pop"/>
    <x v="8"/>
    <n v="0.8"/>
    <n v="193"/>
    <n v="0.87"/>
    <x v="26"/>
    <n v="56"/>
    <x v="0"/>
  </r>
  <r>
    <s v="Meet Me Halfway"/>
    <s v="The Black Eyed Peas"/>
    <s v="dance pop"/>
    <x v="8"/>
    <n v="0.8"/>
    <n v="284"/>
    <n v="0.63"/>
    <x v="0"/>
    <n v="68"/>
    <x v="0"/>
  </r>
  <r>
    <s v="Muny - Album Version (Edited)"/>
    <s v="Nicki Minaj"/>
    <s v="dance pop"/>
    <x v="9"/>
    <n v="0.8"/>
    <n v="227"/>
    <n v="0.72"/>
    <x v="14"/>
    <n v="7"/>
    <x v="1"/>
  </r>
  <r>
    <s v="Suit &amp; Tie"/>
    <s v="Justin Timberlake"/>
    <s v="dance pop"/>
    <x v="7"/>
    <n v="0.8"/>
    <n v="326"/>
    <n v="0.6"/>
    <x v="27"/>
    <n v="68"/>
    <x v="0"/>
  </r>
  <r>
    <s v="#thatPOWER"/>
    <s v="will.i.am"/>
    <s v="dance pop"/>
    <x v="7"/>
    <n v="0.8"/>
    <n v="280"/>
    <n v="0.61"/>
    <x v="22"/>
    <n v="68"/>
    <x v="0"/>
  </r>
  <r>
    <s v="La La La (Brasil 2014) (feat. Carlinhos Brown)"/>
    <s v="Shakira"/>
    <s v="colombian pop"/>
    <x v="1"/>
    <n v="0.8"/>
    <n v="198"/>
    <n v="0.82"/>
    <x v="22"/>
    <n v="50"/>
    <x v="0"/>
  </r>
  <r>
    <s v="Rather Be (feat. Jess Glynne)"/>
    <s v="Clean Bandit"/>
    <s v="dance pop"/>
    <x v="4"/>
    <n v="0.8"/>
    <n v="228"/>
    <n v="0.59"/>
    <x v="1"/>
    <n v="73"/>
    <x v="0"/>
  </r>
  <r>
    <s v="Mr. Put It Down"/>
    <s v="Ricky Martin"/>
    <s v="dance pop"/>
    <x v="4"/>
    <n v="0.8"/>
    <n v="196"/>
    <n v="0.78"/>
    <x v="22"/>
    <n v="42"/>
    <x v="0"/>
  </r>
  <r>
    <s v="Work from Home (feat. Ty Dolla $ign)"/>
    <s v="Fifth Harmony"/>
    <s v="dance pop"/>
    <x v="2"/>
    <n v="0.8"/>
    <n v="214"/>
    <n v="0.59"/>
    <x v="28"/>
    <n v="79"/>
    <x v="0"/>
  </r>
  <r>
    <s v="Behind Your Back"/>
    <s v="Nelly Furtado"/>
    <s v="canadian latin"/>
    <x v="2"/>
    <n v="0.8"/>
    <n v="228"/>
    <n v="0.47"/>
    <x v="14"/>
    <n v="18"/>
    <x v="1"/>
  </r>
  <r>
    <s v="Bon app閠it"/>
    <s v="Katy Perry"/>
    <s v="dance pop"/>
    <x v="3"/>
    <n v="0.8"/>
    <n v="228"/>
    <n v="0.79"/>
    <x v="10"/>
    <n v="68"/>
    <x v="0"/>
  </r>
  <r>
    <s v="What Lovers Do (feat. SZA)"/>
    <s v="Maroon 5"/>
    <s v="pop"/>
    <x v="0"/>
    <n v="0.8"/>
    <n v="200"/>
    <n v="0.6"/>
    <x v="19"/>
    <n v="79"/>
    <x v="0"/>
  </r>
  <r>
    <s v="I Don't Care (with Justin Bieber)"/>
    <s v="Ed Sheeran"/>
    <s v="pop"/>
    <x v="5"/>
    <n v="0.8"/>
    <n v="220"/>
    <n v="0.68"/>
    <x v="27"/>
    <n v="85"/>
    <x v="0"/>
  </r>
  <r>
    <s v="Only Human"/>
    <s v="Jonas Brothers"/>
    <s v="boy band"/>
    <x v="5"/>
    <n v="0.8"/>
    <n v="183"/>
    <n v="0.5"/>
    <x v="29"/>
    <n v="87"/>
    <x v="1"/>
  </r>
  <r>
    <s v="California Gurls"/>
    <s v="Katy Perry"/>
    <s v="dance pop"/>
    <x v="8"/>
    <n v="0.79"/>
    <n v="235"/>
    <n v="0.75"/>
    <x v="4"/>
    <n v="62"/>
    <x v="0"/>
  </r>
  <r>
    <s v="Only Girl (In The World)"/>
    <s v="Rihanna"/>
    <s v="barbadian pop"/>
    <x v="8"/>
    <n v="0.79"/>
    <n v="235"/>
    <n v="0.72"/>
    <x v="30"/>
    <n v="73"/>
    <x v="0"/>
  </r>
  <r>
    <s v="Dance Again"/>
    <s v="Jennifer Lopez"/>
    <s v="dance pop"/>
    <x v="6"/>
    <n v="0.79"/>
    <n v="237"/>
    <n v="0.86"/>
    <x v="22"/>
    <n v="66"/>
    <x v="0"/>
  </r>
  <r>
    <s v="Get Lucky (feat. Pharrell Williams &amp; Nile Rodgers) - Radio Edit"/>
    <s v="Daft Punk"/>
    <s v="electro"/>
    <x v="7"/>
    <n v="0.79"/>
    <n v="248"/>
    <n v="0.81"/>
    <x v="9"/>
    <n v="77"/>
    <x v="0"/>
  </r>
  <r>
    <s v="#SELFIE"/>
    <s v="The Chainsmokers"/>
    <s v="electropop"/>
    <x v="1"/>
    <n v="0.79"/>
    <n v="184"/>
    <n v="0.92"/>
    <x v="22"/>
    <n v="65"/>
    <x v="0"/>
  </r>
  <r>
    <s v="Love Me Like You"/>
    <s v="Little Mix"/>
    <s v="dance pop"/>
    <x v="4"/>
    <n v="0.79"/>
    <n v="198"/>
    <n v="0.67"/>
    <x v="10"/>
    <n v="65"/>
    <x v="0"/>
  </r>
  <r>
    <s v="Too Good"/>
    <s v="Drake"/>
    <s v="canadian hip hop"/>
    <x v="2"/>
    <n v="0.79"/>
    <n v="263"/>
    <n v="0.65"/>
    <x v="31"/>
    <n v="74"/>
    <x v="0"/>
  </r>
  <r>
    <s v="One Kiss (with Dua Lipa)"/>
    <s v="Calvin Harris"/>
    <s v="dance pop"/>
    <x v="0"/>
    <n v="0.79"/>
    <n v="215"/>
    <n v="0.86"/>
    <x v="3"/>
    <n v="86"/>
    <x v="0"/>
  </r>
  <r>
    <s v="Supplies"/>
    <s v="Justin Timberlake"/>
    <s v="dance pop"/>
    <x v="0"/>
    <n v="0.79"/>
    <n v="226"/>
    <n v="0.55000000000000004"/>
    <x v="2"/>
    <n v="57"/>
    <x v="0"/>
  </r>
  <r>
    <s v="OMG (feat. will.i.am)"/>
    <s v="Usher"/>
    <s v="atl hip hop"/>
    <x v="8"/>
    <n v="0.78"/>
    <n v="269"/>
    <n v="0.75"/>
    <x v="0"/>
    <n v="72"/>
    <x v="0"/>
  </r>
  <r>
    <s v="Call Me Maybe"/>
    <s v="Carly Rae Jepsen"/>
    <s v="canadian pop"/>
    <x v="6"/>
    <n v="0.78"/>
    <n v="193"/>
    <n v="0.57999999999999996"/>
    <x v="2"/>
    <n v="76"/>
    <x v="0"/>
  </r>
  <r>
    <s v="Thrift Shop (feat. Wanz)"/>
    <s v="Macklemore &amp; Ryan Lewis"/>
    <s v="dance pop"/>
    <x v="7"/>
    <n v="0.78"/>
    <n v="236"/>
    <n v="0.53"/>
    <x v="5"/>
    <n v="69"/>
    <x v="1"/>
  </r>
  <r>
    <s v="Just Give Me a Reason (feat. Nate Ruess)"/>
    <s v="P!nk"/>
    <s v="dance pop"/>
    <x v="7"/>
    <n v="0.78"/>
    <n v="243"/>
    <n v="0.55000000000000004"/>
    <x v="5"/>
    <n v="81"/>
    <x v="1"/>
  </r>
  <r>
    <s v="Sheezus"/>
    <s v="Lily Allen"/>
    <s v="dance pop"/>
    <x v="1"/>
    <n v="0.78"/>
    <n v="235"/>
    <n v="0.5"/>
    <x v="0"/>
    <n v="37"/>
    <x v="0"/>
  </r>
  <r>
    <s v="Love Never Felt So Good"/>
    <s v="Michael Jackson"/>
    <s v="pop"/>
    <x v="1"/>
    <n v="0.78"/>
    <n v="246"/>
    <n v="0.72"/>
    <x v="31"/>
    <n v="71"/>
    <x v="0"/>
  </r>
  <r>
    <s v="Thinking out Loud"/>
    <s v="Ed Sheeran"/>
    <s v="pop"/>
    <x v="4"/>
    <n v="0.78"/>
    <n v="282"/>
    <n v="0.45"/>
    <x v="32"/>
    <n v="84"/>
    <x v="1"/>
  </r>
  <r>
    <s v="Want to Want Me"/>
    <s v="Jason Derulo"/>
    <s v="dance pop"/>
    <x v="4"/>
    <n v="0.78"/>
    <n v="208"/>
    <n v="0.68"/>
    <x v="33"/>
    <n v="77"/>
    <x v="0"/>
  </r>
  <r>
    <s v="Lips Are Movin"/>
    <s v="Meghan Trainor"/>
    <s v="dance pop"/>
    <x v="4"/>
    <n v="0.78"/>
    <n v="183"/>
    <n v="0.83"/>
    <x v="34"/>
    <n v="68"/>
    <x v="0"/>
  </r>
  <r>
    <s v="Attention"/>
    <s v="Charlie Puth"/>
    <s v="dance pop"/>
    <x v="0"/>
    <n v="0.78"/>
    <n v="209"/>
    <n v="0.61"/>
    <x v="8"/>
    <n v="83"/>
    <x v="0"/>
  </r>
  <r>
    <s v="Cooler Than Me - Single Mix"/>
    <s v="Mike Posner"/>
    <s v="dance pop"/>
    <x v="8"/>
    <n v="0.77"/>
    <n v="213"/>
    <n v="0.82"/>
    <x v="0"/>
    <n v="73"/>
    <x v="0"/>
  </r>
  <r>
    <s v="Super Bass"/>
    <s v="Nicki Minaj"/>
    <s v="dance pop"/>
    <x v="9"/>
    <n v="0.77"/>
    <n v="201"/>
    <n v="0.74"/>
    <x v="35"/>
    <n v="38"/>
    <x v="0"/>
  </r>
  <r>
    <s v="Overdose"/>
    <s v="Ciara"/>
    <s v="dance pop"/>
    <x v="7"/>
    <n v="0.77"/>
    <n v="227"/>
    <n v="0.7"/>
    <x v="23"/>
    <n v="43"/>
    <x v="0"/>
  </r>
  <r>
    <s v="Hold On, We're Going Home"/>
    <s v="Drake"/>
    <s v="canadian hip hop"/>
    <x v="7"/>
    <n v="0.77"/>
    <n v="228"/>
    <n v="0.41"/>
    <x v="8"/>
    <n v="73"/>
    <x v="0"/>
  </r>
  <r>
    <s v="Rude"/>
    <s v="MAGIC!"/>
    <s v="pop"/>
    <x v="1"/>
    <n v="0.77"/>
    <n v="225"/>
    <n v="0.76"/>
    <x v="36"/>
    <n v="79"/>
    <x v="0"/>
  </r>
  <r>
    <s v="What Do You Mean? - Acoustic"/>
    <s v="Justin Bieber"/>
    <s v="canadian pop"/>
    <x v="4"/>
    <n v="0.77"/>
    <n v="204"/>
    <n v="0.36"/>
    <x v="4"/>
    <n v="64"/>
    <x v="0"/>
  </r>
  <r>
    <s v="Cake By The Ocean"/>
    <s v="DNCE"/>
    <s v="dance pop"/>
    <x v="2"/>
    <n v="0.77"/>
    <n v="219"/>
    <n v="0.75"/>
    <x v="37"/>
    <n v="81"/>
    <x v="0"/>
  </r>
  <r>
    <s v="Shout Out to My Ex"/>
    <s v="Little Mix"/>
    <s v="dance pop"/>
    <x v="2"/>
    <n v="0.77"/>
    <n v="246"/>
    <n v="0.75"/>
    <x v="30"/>
    <n v="77"/>
    <x v="0"/>
  </r>
  <r>
    <s v="7 Years"/>
    <s v="Lukas Graham"/>
    <s v="danish pop"/>
    <x v="2"/>
    <n v="0.77"/>
    <n v="237"/>
    <n v="0.47"/>
    <x v="2"/>
    <n v="80"/>
    <x v="0"/>
  </r>
  <r>
    <s v="Kissing Strangers"/>
    <s v="DNCE"/>
    <s v="dance pop"/>
    <x v="3"/>
    <n v="0.77"/>
    <n v="202"/>
    <n v="0.74"/>
    <x v="2"/>
    <n v="66"/>
    <x v="0"/>
  </r>
  <r>
    <s v="I Feel It Coming"/>
    <s v="The Weeknd"/>
    <s v="canadian contemporary r&amp;b"/>
    <x v="3"/>
    <n v="0.77"/>
    <n v="269"/>
    <n v="0.82"/>
    <x v="38"/>
    <n v="81"/>
    <x v="1"/>
  </r>
  <r>
    <s v="Influence"/>
    <s v="Tove Lo"/>
    <s v="dance pop"/>
    <x v="3"/>
    <n v="0.77"/>
    <n v="225"/>
    <n v="0.59"/>
    <x v="28"/>
    <n v="54"/>
    <x v="0"/>
  </r>
  <r>
    <s v="Supernova"/>
    <s v="Ansel Elgort"/>
    <s v="dance pop"/>
    <x v="0"/>
    <n v="0.77"/>
    <n v="191"/>
    <n v="0.62"/>
    <x v="39"/>
    <n v="72"/>
    <x v="0"/>
  </r>
  <r>
    <s v="Havana (feat. Young Thug)"/>
    <s v="Camila Cabello"/>
    <s v="dance pop"/>
    <x v="0"/>
    <n v="0.77"/>
    <n v="217"/>
    <n v="0.52"/>
    <x v="28"/>
    <n v="85"/>
    <x v="0"/>
  </r>
  <r>
    <s v="Kissing Strangers"/>
    <s v="DNCE"/>
    <s v="dance pop"/>
    <x v="0"/>
    <n v="0.77"/>
    <n v="202"/>
    <n v="0.74"/>
    <x v="2"/>
    <n v="66"/>
    <x v="0"/>
  </r>
  <r>
    <s v="Look What You Made Me Do"/>
    <s v="Taylor Swift"/>
    <s v="pop"/>
    <x v="0"/>
    <n v="0.77"/>
    <n v="212"/>
    <n v="0.71"/>
    <x v="22"/>
    <n v="75"/>
    <x v="0"/>
  </r>
  <r>
    <s v="Not Myself Tonight"/>
    <s v="Christina Aguilera"/>
    <s v="dance pop"/>
    <x v="8"/>
    <n v="0.76"/>
    <n v="186"/>
    <n v="0.81"/>
    <x v="2"/>
    <n v="55"/>
    <x v="0"/>
  </r>
  <r>
    <s v="TiK ToK"/>
    <s v="Kesha"/>
    <s v="dance pop"/>
    <x v="8"/>
    <n v="0.76"/>
    <n v="200"/>
    <n v="0.84"/>
    <x v="2"/>
    <n v="80"/>
    <x v="0"/>
  </r>
  <r>
    <s v="Domino"/>
    <s v="Jessie J"/>
    <s v="australian pop"/>
    <x v="6"/>
    <n v="0.76"/>
    <n v="232"/>
    <n v="0.55000000000000004"/>
    <x v="35"/>
    <n v="69"/>
    <x v="0"/>
  </r>
  <r>
    <s v="A Little Party Never Killed Nobody (All We Got)"/>
    <s v="Fergie"/>
    <s v="dance pop"/>
    <x v="7"/>
    <n v="0.76"/>
    <n v="241"/>
    <n v="0.62"/>
    <x v="0"/>
    <n v="65"/>
    <x v="0"/>
  </r>
  <r>
    <s v="A Little Party Never Killed Nobody (All We Got)"/>
    <s v="Fergie"/>
    <s v="dance pop"/>
    <x v="1"/>
    <n v="0.76"/>
    <n v="241"/>
    <n v="0.62"/>
    <x v="0"/>
    <n v="65"/>
    <x v="0"/>
  </r>
  <r>
    <s v="Talk Dirty (feat. 2 Chainz)"/>
    <s v="Jason Derulo"/>
    <s v="dance pop"/>
    <x v="1"/>
    <n v="0.76"/>
    <n v="178"/>
    <n v="0.65"/>
    <x v="8"/>
    <n v="68"/>
    <x v="0"/>
  </r>
  <r>
    <s v="Prayer in C - Robin Schulz Radio Edit"/>
    <s v="Lilly Wood and The Prick"/>
    <s v="french indie pop"/>
    <x v="4"/>
    <n v="0.76"/>
    <n v="189"/>
    <n v="0.89"/>
    <x v="20"/>
    <n v="58"/>
    <x v="0"/>
  </r>
  <r>
    <s v="Me, Myself &amp; I"/>
    <s v="G-Eazy"/>
    <s v="hip hop"/>
    <x v="2"/>
    <n v="0.76"/>
    <n v="251"/>
    <n v="0.67"/>
    <x v="26"/>
    <n v="78"/>
    <x v="0"/>
  </r>
  <r>
    <s v="Ain't Your Mama"/>
    <s v="Jennifer Lopez"/>
    <s v="dance pop"/>
    <x v="2"/>
    <n v="0.76"/>
    <n v="218"/>
    <n v="0.68"/>
    <x v="2"/>
    <n v="72"/>
    <x v="0"/>
  </r>
  <r>
    <s v="Kill Em With Kindness"/>
    <s v="Selena Gomez"/>
    <s v="dance pop"/>
    <x v="2"/>
    <n v="0.76"/>
    <n v="218"/>
    <n v="0.88"/>
    <x v="2"/>
    <n v="70"/>
    <x v="0"/>
  </r>
  <r>
    <s v="Kissing Strangers - Remix"/>
    <s v="DNCE"/>
    <s v="dance pop"/>
    <x v="3"/>
    <n v="0.76"/>
    <n v="202"/>
    <n v="0.77"/>
    <x v="2"/>
    <n v="43"/>
    <x v="0"/>
  </r>
  <r>
    <s v="Summer Bummer (feat. A$AP Rocky &amp; Playboi Carti)"/>
    <s v="Lana Del Rey"/>
    <s v="art pop"/>
    <x v="3"/>
    <n v="0.76"/>
    <n v="261"/>
    <n v="0.56999999999999995"/>
    <x v="40"/>
    <n v="67"/>
    <x v="0"/>
  </r>
  <r>
    <s v="New Rules"/>
    <s v="Dua Lipa"/>
    <s v="dance pop"/>
    <x v="0"/>
    <n v="0.76"/>
    <n v="209"/>
    <n v="0.7"/>
    <x v="9"/>
    <n v="84"/>
    <x v="0"/>
  </r>
  <r>
    <s v="MOVE TO MIAMI"/>
    <s v="Enrique Iglesias"/>
    <s v="dance pop"/>
    <x v="0"/>
    <n v="0.76"/>
    <n v="169"/>
    <n v="0.87"/>
    <x v="8"/>
    <n v="64"/>
    <x v="0"/>
  </r>
  <r>
    <s v="Mi Gente (feat. Beyonc?"/>
    <s v="J Balvin"/>
    <s v="latin"/>
    <x v="0"/>
    <n v="0.76"/>
    <n v="210"/>
    <n v="0.72"/>
    <x v="28"/>
    <n v="68"/>
    <x v="0"/>
  </r>
  <r>
    <s v="Memories"/>
    <s v="Maroon 5"/>
    <s v="pop"/>
    <x v="5"/>
    <n v="0.76"/>
    <n v="189"/>
    <n v="0.32"/>
    <x v="41"/>
    <n v="99"/>
    <x v="1"/>
  </r>
  <r>
    <s v="Se駉rita"/>
    <s v="Shawn Mendes"/>
    <s v="canadian pop"/>
    <x v="5"/>
    <n v="0.76"/>
    <n v="191"/>
    <n v="0.54"/>
    <x v="12"/>
    <n v="95"/>
    <x v="0"/>
  </r>
  <r>
    <s v="Love The Way You Lie"/>
    <s v="Eminem"/>
    <s v="detroit hip hop"/>
    <x v="8"/>
    <n v="0.75"/>
    <n v="263"/>
    <n v="0.93"/>
    <x v="42"/>
    <n v="82"/>
    <x v="1"/>
  </r>
  <r>
    <s v="Blah Blah Blah (feat. 3OH!3)"/>
    <s v="Kesha"/>
    <s v="dance pop"/>
    <x v="8"/>
    <n v="0.75"/>
    <n v="172"/>
    <n v="0.84"/>
    <x v="2"/>
    <n v="62"/>
    <x v="0"/>
  </r>
  <r>
    <s v="Dynamite"/>
    <s v="Taio Cruz"/>
    <s v="dance pop"/>
    <x v="8"/>
    <n v="0.75"/>
    <n v="203"/>
    <n v="0.78"/>
    <x v="2"/>
    <n v="77"/>
    <x v="0"/>
  </r>
  <r>
    <s v="Blow"/>
    <s v="Kesha"/>
    <s v="dance pop"/>
    <x v="9"/>
    <n v="0.75"/>
    <n v="220"/>
    <n v="0.73"/>
    <x v="2"/>
    <n v="64"/>
    <x v="0"/>
  </r>
  <r>
    <s v="Party Rock Anthem"/>
    <s v="LMFAO"/>
    <s v="dance pop"/>
    <x v="9"/>
    <n v="0.75"/>
    <n v="262"/>
    <n v="0.74"/>
    <x v="0"/>
    <n v="72"/>
    <x v="0"/>
  </r>
  <r>
    <s v="Starships"/>
    <s v="Nicki Minaj"/>
    <s v="dance pop"/>
    <x v="6"/>
    <n v="0.75"/>
    <n v="211"/>
    <n v="0.72"/>
    <x v="4"/>
    <n v="73"/>
    <x v="0"/>
  </r>
  <r>
    <n v="43776"/>
    <s v="Beyonce"/>
    <s v="dance pop"/>
    <x v="4"/>
    <n v="0.75"/>
    <n v="214"/>
    <n v="0.71"/>
    <x v="7"/>
    <n v="72"/>
    <x v="0"/>
  </r>
  <r>
    <s v="Sugar"/>
    <s v="Maroon 5"/>
    <s v="pop"/>
    <x v="4"/>
    <n v="0.75"/>
    <n v="235"/>
    <n v="0.79"/>
    <x v="2"/>
    <n v="81"/>
    <x v="0"/>
  </r>
  <r>
    <s v="Sugar"/>
    <s v="Maroon 5"/>
    <s v="pop"/>
    <x v="4"/>
    <n v="0.75"/>
    <n v="235"/>
    <n v="0.79"/>
    <x v="2"/>
    <n v="66"/>
    <x v="0"/>
  </r>
  <r>
    <s v="Stitches"/>
    <s v="Shawn Mendes"/>
    <s v="canadian pop"/>
    <x v="4"/>
    <n v="0.75"/>
    <n v="207"/>
    <n v="0.75"/>
    <x v="43"/>
    <n v="78"/>
    <x v="0"/>
  </r>
  <r>
    <s v="Do You Wanna Come Over?"/>
    <s v="Britney Spears"/>
    <s v="dance pop"/>
    <x v="2"/>
    <n v="0.75"/>
    <n v="203"/>
    <n v="0.7"/>
    <x v="1"/>
    <n v="34"/>
    <x v="0"/>
  </r>
  <r>
    <s v="One Call Away (feat. Tyga) - Remix"/>
    <s v="Charlie Puth"/>
    <s v="dance pop"/>
    <x v="2"/>
    <n v="0.75"/>
    <n v="192"/>
    <n v="0.69"/>
    <x v="41"/>
    <n v="41"/>
    <x v="1"/>
  </r>
  <r>
    <s v="Light It Up (feat. Nyla &amp; Fuse ODG) [Remix]"/>
    <s v="Major Lazer"/>
    <s v="dance pop"/>
    <x v="2"/>
    <n v="0.75"/>
    <n v="166"/>
    <n v="0.88"/>
    <x v="44"/>
    <n v="73"/>
    <x v="0"/>
  </r>
  <r>
    <s v="Stitches"/>
    <s v="Shawn Mendes"/>
    <s v="canadian pop"/>
    <x v="2"/>
    <n v="0.75"/>
    <n v="207"/>
    <n v="0.75"/>
    <x v="43"/>
    <n v="78"/>
    <x v="0"/>
  </r>
  <r>
    <s v="Closer"/>
    <s v="The Chainsmokers"/>
    <s v="electropop"/>
    <x v="3"/>
    <n v="0.75"/>
    <n v="245"/>
    <n v="0.52"/>
    <x v="5"/>
    <n v="86"/>
    <x v="1"/>
  </r>
  <r>
    <s v="Miss You (with Major Lazer &amp; Tory Lanez)"/>
    <s v="Cashmere Cat"/>
    <s v="downtempo"/>
    <x v="0"/>
    <n v="0.75"/>
    <n v="186"/>
    <n v="0.64"/>
    <x v="8"/>
    <n v="64"/>
    <x v="0"/>
  </r>
  <r>
    <s v="Filthy"/>
    <s v="Justin Timberlake"/>
    <s v="dance pop"/>
    <x v="0"/>
    <n v="0.75"/>
    <n v="294"/>
    <n v="0.57999999999999996"/>
    <x v="16"/>
    <n v="62"/>
    <x v="1"/>
  </r>
  <r>
    <s v="Boom Boom"/>
    <s v="RedOne"/>
    <s v="moroccan pop"/>
    <x v="0"/>
    <n v="0.75"/>
    <n v="248"/>
    <n v="0.76"/>
    <x v="19"/>
    <n v="53"/>
    <x v="0"/>
  </r>
  <r>
    <s v="Cross Me (feat. Chance the Rapper &amp; PnB Rock)"/>
    <s v="Ed Sheeran"/>
    <s v="pop"/>
    <x v="5"/>
    <n v="0.75"/>
    <n v="206"/>
    <n v="0.79"/>
    <x v="5"/>
    <n v="75"/>
    <x v="1"/>
  </r>
  <r>
    <s v="We R Who We R"/>
    <s v="Kesha"/>
    <s v="dance pop"/>
    <x v="9"/>
    <n v="0.74"/>
    <n v="205"/>
    <n v="0.82"/>
    <x v="2"/>
    <n v="72"/>
    <x v="0"/>
  </r>
  <r>
    <s v="Payphone"/>
    <s v="Maroon 5"/>
    <s v="pop"/>
    <x v="6"/>
    <n v="0.74"/>
    <n v="231"/>
    <n v="0.75"/>
    <x v="19"/>
    <n v="79"/>
    <x v="0"/>
  </r>
  <r>
    <s v="I Luh Ya Papi"/>
    <s v="Jennifer Lopez"/>
    <s v="dance pop"/>
    <x v="1"/>
    <n v="0.74"/>
    <n v="207"/>
    <n v="0.73"/>
    <x v="17"/>
    <n v="28"/>
    <x v="1"/>
  </r>
  <r>
    <s v="Maps"/>
    <s v="Maroon 5"/>
    <s v="pop"/>
    <x v="1"/>
    <n v="0.74"/>
    <n v="190"/>
    <n v="0.71"/>
    <x v="2"/>
    <n v="78"/>
    <x v="0"/>
  </r>
  <r>
    <s v="How Deep Is Your Love"/>
    <s v="Calvin Harris"/>
    <s v="dance pop"/>
    <x v="4"/>
    <n v="0.74"/>
    <n v="213"/>
    <n v="0.87"/>
    <x v="11"/>
    <n v="77"/>
    <x v="0"/>
  </r>
  <r>
    <s v="Been You"/>
    <s v="Justin Bieber"/>
    <s v="canadian pop"/>
    <x v="4"/>
    <n v="0.74"/>
    <n v="199"/>
    <n v="0.78"/>
    <x v="45"/>
    <n v="60"/>
    <x v="0"/>
  </r>
  <r>
    <s v="Make Me Like You"/>
    <s v="Gwen Stefani"/>
    <s v="dance pop"/>
    <x v="2"/>
    <n v="0.74"/>
    <n v="217"/>
    <n v="0.71"/>
    <x v="31"/>
    <n v="50"/>
    <x v="0"/>
  </r>
  <r>
    <s v="Slide (feat. Frank Ocean &amp; Migos)"/>
    <s v="Calvin Harris"/>
    <s v="dance pop"/>
    <x v="3"/>
    <n v="0.74"/>
    <n v="231"/>
    <n v="0.8"/>
    <x v="46"/>
    <n v="75"/>
    <x v="0"/>
  </r>
  <r>
    <s v="Angel"/>
    <s v="Fifth Harmony"/>
    <s v="dance pop"/>
    <x v="3"/>
    <n v="0.74"/>
    <n v="189"/>
    <n v="0.53"/>
    <x v="3"/>
    <n v="59"/>
    <x v="0"/>
  </r>
  <r>
    <s v="Rich Boy"/>
    <s v="Galantis"/>
    <s v="big room"/>
    <x v="3"/>
    <n v="0.74"/>
    <n v="184"/>
    <n v="0.9"/>
    <x v="19"/>
    <n v="55"/>
    <x v="0"/>
  </r>
  <r>
    <s v="Mama"/>
    <s v="Jonas Blue"/>
    <s v="dance pop"/>
    <x v="3"/>
    <n v="0.74"/>
    <n v="184"/>
    <n v="0.79"/>
    <x v="46"/>
    <n v="75"/>
    <x v="0"/>
  </r>
  <r>
    <s v="Slow Hands"/>
    <s v="Niall Horan"/>
    <s v="dance pop"/>
    <x v="3"/>
    <n v="0.74"/>
    <n v="188"/>
    <n v="0.42"/>
    <x v="47"/>
    <n v="64"/>
    <x v="1"/>
  </r>
  <r>
    <s v="I Don抰 Wanna Live Forever (Fifty Shades Darker)"/>
    <s v="ZAYN"/>
    <s v="dance pop"/>
    <x v="3"/>
    <n v="0.74"/>
    <n v="245"/>
    <n v="0.45"/>
    <x v="31"/>
    <n v="78"/>
    <x v="0"/>
  </r>
  <r>
    <s v="Friends (with BloodPop?"/>
    <s v="Justin Bieber"/>
    <s v="canadian pop"/>
    <x v="0"/>
    <n v="0.74"/>
    <n v="189"/>
    <n v="0.73"/>
    <x v="28"/>
    <n v="77"/>
    <x v="0"/>
  </r>
  <r>
    <s v="Con Calma - Remix"/>
    <s v="Daddy Yankee"/>
    <s v="latin"/>
    <x v="5"/>
    <n v="0.74"/>
    <n v="181"/>
    <n v="0.87"/>
    <x v="29"/>
    <n v="76"/>
    <x v="1"/>
  </r>
  <r>
    <s v="Baby"/>
    <s v="Justin Bieber"/>
    <s v="canadian pop"/>
    <x v="8"/>
    <n v="0.73"/>
    <n v="214"/>
    <n v="0.86"/>
    <x v="48"/>
    <n v="77"/>
    <x v="1"/>
  </r>
  <r>
    <s v="Take It Off"/>
    <s v="Kesha"/>
    <s v="dance pop"/>
    <x v="8"/>
    <n v="0.73"/>
    <n v="215"/>
    <n v="0.68"/>
    <x v="4"/>
    <n v="66"/>
    <x v="0"/>
  </r>
  <r>
    <s v="Rolling in the Deep"/>
    <s v="Adele"/>
    <s v="british soul"/>
    <x v="9"/>
    <n v="0.73"/>
    <n v="228"/>
    <n v="0.76"/>
    <x v="28"/>
    <n v="76"/>
    <x v="0"/>
  </r>
  <r>
    <s v="Run the World (Girls)"/>
    <s v="Beyonce"/>
    <s v="dance pop"/>
    <x v="9"/>
    <n v="0.73"/>
    <n v="236"/>
    <n v="0.9"/>
    <x v="35"/>
    <n v="76"/>
    <x v="0"/>
  </r>
  <r>
    <s v="On The Floor"/>
    <s v="Jennifer Lopez"/>
    <s v="dance pop"/>
    <x v="9"/>
    <n v="0.73"/>
    <n v="285"/>
    <n v="0.78"/>
    <x v="0"/>
    <n v="69"/>
    <x v="0"/>
  </r>
  <r>
    <s v="Invading My Mind"/>
    <s v="Jennifer Lopez"/>
    <s v="dance pop"/>
    <x v="9"/>
    <n v="0.73"/>
    <n v="201"/>
    <n v="0.88"/>
    <x v="49"/>
    <n v="31"/>
    <x v="0"/>
  </r>
  <r>
    <s v="We Found Love"/>
    <s v="Rihanna"/>
    <s v="barbadian pop"/>
    <x v="9"/>
    <n v="0.73"/>
    <n v="215"/>
    <n v="0.77"/>
    <x v="22"/>
    <n v="61"/>
    <x v="0"/>
  </r>
  <r>
    <s v="Locked Out of Heaven"/>
    <s v="Bruno Mars"/>
    <s v="pop"/>
    <x v="6"/>
    <n v="0.73"/>
    <n v="233"/>
    <n v="0.7"/>
    <x v="36"/>
    <n v="79"/>
    <x v="0"/>
  </r>
  <r>
    <s v="What Makes You Beautiful"/>
    <s v="One Direction"/>
    <s v="boy band"/>
    <x v="6"/>
    <n v="0.73"/>
    <n v="200"/>
    <n v="0.79"/>
    <x v="4"/>
    <n v="78"/>
    <x v="0"/>
  </r>
  <r>
    <s v="Starving"/>
    <s v="Hailee Steinfeld"/>
    <s v="dance pop"/>
    <x v="2"/>
    <n v="0.73"/>
    <n v="182"/>
    <n v="0.62"/>
    <x v="8"/>
    <n v="78"/>
    <x v="0"/>
  </r>
  <r>
    <s v="Champagne Problems"/>
    <s v="Nick Jonas"/>
    <s v="dance pop"/>
    <x v="2"/>
    <n v="0.73"/>
    <n v="193"/>
    <n v="0.78"/>
    <x v="44"/>
    <n v="50"/>
    <x v="0"/>
  </r>
  <r>
    <s v="Work"/>
    <s v="Rihanna"/>
    <s v="barbadian pop"/>
    <x v="2"/>
    <n v="0.73"/>
    <n v="219"/>
    <n v="0.53"/>
    <x v="50"/>
    <n v="78"/>
    <x v="1"/>
  </r>
  <r>
    <s v="Reality (feat. Janieck Devy) - Radio Edit"/>
    <s v="Lost Frequencies"/>
    <s v="belgian edm"/>
    <x v="3"/>
    <n v="0.73"/>
    <n v="158"/>
    <n v="0.64"/>
    <x v="11"/>
    <n v="59"/>
    <x v="0"/>
  </r>
  <r>
    <s v="Girls (feat. Cardi B, Bebe Rexha &amp; Charli XCX)"/>
    <s v="Rita Ora"/>
    <s v="dance pop"/>
    <x v="0"/>
    <n v="0.73"/>
    <n v="221"/>
    <n v="0.69"/>
    <x v="29"/>
    <n v="64"/>
    <x v="1"/>
  </r>
  <r>
    <s v="All Around The World (La La La)"/>
    <s v="R3HAB"/>
    <s v="big room"/>
    <x v="5"/>
    <n v="0.73"/>
    <n v="148"/>
    <n v="0.86"/>
    <x v="4"/>
    <n v="82"/>
    <x v="0"/>
  </r>
  <r>
    <s v="Teenage Dream"/>
    <s v="Katy Perry"/>
    <s v="dance pop"/>
    <x v="8"/>
    <n v="0.72"/>
    <n v="228"/>
    <n v="0.8"/>
    <x v="2"/>
    <n v="63"/>
    <x v="0"/>
  </r>
  <r>
    <s v="Eenie Meenie"/>
    <s v="Sean Kingston"/>
    <s v="dance pop"/>
    <x v="8"/>
    <n v="0.72"/>
    <n v="202"/>
    <n v="0.61"/>
    <x v="1"/>
    <n v="71"/>
    <x v="0"/>
  </r>
  <r>
    <s v="Rock That Body"/>
    <s v="The Black Eyed Peas"/>
    <s v="dance pop"/>
    <x v="8"/>
    <n v="0.72"/>
    <n v="269"/>
    <n v="0.91"/>
    <x v="4"/>
    <n v="59"/>
    <x v="0"/>
  </r>
  <r>
    <s v="Moves Like Jagger - Studio Recording From The Voice Performance"/>
    <s v="Maroon 5"/>
    <s v="pop"/>
    <x v="9"/>
    <n v="0.72"/>
    <n v="201"/>
    <n v="0.76"/>
    <x v="22"/>
    <n v="76"/>
    <x v="0"/>
  </r>
  <r>
    <s v="Boyfriend"/>
    <s v="Justin Bieber"/>
    <s v="canadian pop"/>
    <x v="6"/>
    <n v="0.72"/>
    <n v="171"/>
    <n v="0.55000000000000004"/>
    <x v="16"/>
    <n v="71"/>
    <x v="1"/>
  </r>
  <r>
    <s v="One More Night"/>
    <s v="Maroon 5"/>
    <s v="pop"/>
    <x v="6"/>
    <n v="0.72"/>
    <n v="220"/>
    <n v="0.82"/>
    <x v="38"/>
    <n v="73"/>
    <x v="1"/>
  </r>
  <r>
    <s v="Don't Stop the Party (feat. TJR)"/>
    <s v="Pitbull"/>
    <s v="dance pop"/>
    <x v="6"/>
    <n v="0.72"/>
    <n v="206"/>
    <n v="0.96"/>
    <x v="35"/>
    <n v="59"/>
    <x v="0"/>
  </r>
  <r>
    <s v="Where Have You Been"/>
    <s v="Rihanna"/>
    <s v="barbadian pop"/>
    <x v="6"/>
    <n v="0.72"/>
    <n v="243"/>
    <n v="0.85"/>
    <x v="22"/>
    <n v="68"/>
    <x v="0"/>
  </r>
  <r>
    <s v="Glad You Came"/>
    <s v="The Wanted"/>
    <s v="boy band"/>
    <x v="6"/>
    <n v="0.72"/>
    <n v="198"/>
    <n v="0.85"/>
    <x v="35"/>
    <n v="72"/>
    <x v="0"/>
  </r>
  <r>
    <s v="Play Hard (feat. Ne-Yo &amp; Akon) - New Edit"/>
    <s v="David Guetta"/>
    <s v="dance pop"/>
    <x v="7"/>
    <n v="0.72"/>
    <n v="209"/>
    <n v="0.87"/>
    <x v="0"/>
    <n v="67"/>
    <x v="0"/>
  </r>
  <r>
    <s v="Crazy Kids (feat. will.i.am)"/>
    <s v="Kesha"/>
    <s v="dance pop"/>
    <x v="7"/>
    <n v="0.72"/>
    <n v="229"/>
    <n v="0.75"/>
    <x v="22"/>
    <n v="46"/>
    <x v="0"/>
  </r>
  <r>
    <s v="Gorilla"/>
    <s v="Bruno Mars"/>
    <s v="pop"/>
    <x v="1"/>
    <n v="0.72"/>
    <n v="244"/>
    <n v="0.54"/>
    <x v="39"/>
    <n v="68"/>
    <x v="0"/>
  </r>
  <r>
    <s v="Birthday"/>
    <s v="Katy Perry"/>
    <s v="dance pop"/>
    <x v="1"/>
    <n v="0.72"/>
    <n v="215"/>
    <n v="0.67"/>
    <x v="30"/>
    <n v="65"/>
    <x v="0"/>
  </r>
  <r>
    <s v="Love Runs Out"/>
    <s v="OneRepublic"/>
    <s v="dance pop"/>
    <x v="1"/>
    <n v="0.72"/>
    <n v="225"/>
    <n v="0.93"/>
    <x v="2"/>
    <n v="66"/>
    <x v="0"/>
  </r>
  <r>
    <s v="Let Me Be Your Lover"/>
    <s v="Enrique Iglesias"/>
    <s v="dance pop"/>
    <x v="4"/>
    <n v="0.72"/>
    <n v="238"/>
    <n v="0.9"/>
    <x v="26"/>
    <n v="34"/>
    <x v="0"/>
  </r>
  <r>
    <s v="Time of Our Lives"/>
    <s v="Pitbull"/>
    <s v="dance pop"/>
    <x v="4"/>
    <n v="0.72"/>
    <n v="229"/>
    <n v="0.8"/>
    <x v="3"/>
    <n v="45"/>
    <x v="0"/>
  </r>
  <r>
    <s v="Rockabye (feat. Sean Paul &amp; Anne-Marie)"/>
    <s v="Clean Bandit"/>
    <s v="dance pop"/>
    <x v="3"/>
    <n v="0.72"/>
    <n v="251"/>
    <n v="0.76"/>
    <x v="27"/>
    <n v="78"/>
    <x v="0"/>
  </r>
  <r>
    <s v="Get Low (with Liam Payne)"/>
    <s v="Zedd"/>
    <s v="complextro"/>
    <x v="3"/>
    <n v="0.72"/>
    <n v="205"/>
    <n v="0.93"/>
    <x v="44"/>
    <n v="66"/>
    <x v="0"/>
  </r>
  <r>
    <s v="Wolves"/>
    <s v="Selena Gomez"/>
    <s v="dance pop"/>
    <x v="0"/>
    <n v="0.72"/>
    <n v="198"/>
    <n v="0.8"/>
    <x v="4"/>
    <n v="83"/>
    <x v="0"/>
  </r>
  <r>
    <s v="Antisocial (with Travis Scott)"/>
    <s v="Ed Sheeran"/>
    <s v="pop"/>
    <x v="5"/>
    <n v="0.72"/>
    <n v="162"/>
    <n v="0.82"/>
    <x v="51"/>
    <n v="78"/>
    <x v="0"/>
  </r>
  <r>
    <s v="Truth Hurts"/>
    <s v="Lizzo"/>
    <s v="escape room"/>
    <x v="5"/>
    <n v="0.72"/>
    <n v="173"/>
    <n v="0.62"/>
    <x v="52"/>
    <n v="90"/>
    <x v="0"/>
  </r>
  <r>
    <s v="Doesn't Mean Anything"/>
    <s v="Alicia Keys"/>
    <s v="hip pop"/>
    <x v="8"/>
    <n v="0.71"/>
    <n v="273"/>
    <n v="0.41"/>
    <x v="46"/>
    <n v="57"/>
    <x v="0"/>
  </r>
  <r>
    <s v="Grenade"/>
    <s v="Bruno Mars"/>
    <s v="pop"/>
    <x v="9"/>
    <n v="0.71"/>
    <n v="223"/>
    <n v="0.56000000000000005"/>
    <x v="19"/>
    <n v="75"/>
    <x v="0"/>
  </r>
  <r>
    <s v="Yeah 3x"/>
    <s v="Chris Brown"/>
    <s v="dance pop"/>
    <x v="9"/>
    <n v="0.71"/>
    <n v="242"/>
    <n v="0.88"/>
    <x v="0"/>
    <n v="69"/>
    <x v="0"/>
  </r>
  <r>
    <s v="Papi"/>
    <s v="Jennifer Lopez"/>
    <s v="dance pop"/>
    <x v="9"/>
    <n v="0.71"/>
    <n v="223"/>
    <n v="0.81"/>
    <x v="2"/>
    <n v="58"/>
    <x v="0"/>
  </r>
  <r>
    <s v="Sexy And I Know It"/>
    <s v="LMFAO"/>
    <s v="dance pop"/>
    <x v="9"/>
    <n v="0.71"/>
    <n v="199"/>
    <n v="0.86"/>
    <x v="0"/>
    <n v="67"/>
    <x v="0"/>
  </r>
  <r>
    <s v="I Love It (feat. Charli XCX)"/>
    <s v="Icona Pop"/>
    <s v="candy pop"/>
    <x v="7"/>
    <n v="0.71"/>
    <n v="157"/>
    <n v="0.91"/>
    <x v="30"/>
    <n v="67"/>
    <x v="0"/>
  </r>
  <r>
    <s v="Die Young"/>
    <s v="Kesha"/>
    <s v="dance pop"/>
    <x v="7"/>
    <n v="0.71"/>
    <n v="212"/>
    <n v="0.7"/>
    <x v="22"/>
    <n v="75"/>
    <x v="0"/>
  </r>
  <r>
    <s v="Outta Nowhere (feat. Danny Mercer)"/>
    <s v="Pitbull"/>
    <s v="dance pop"/>
    <x v="7"/>
    <n v="0.71"/>
    <n v="207"/>
    <n v="0.84"/>
    <x v="5"/>
    <n v="35"/>
    <x v="1"/>
  </r>
  <r>
    <s v="Mmm Yeah (feat. Pitbull)"/>
    <s v="Austin Mahone"/>
    <s v="dance pop"/>
    <x v="1"/>
    <n v="0.71"/>
    <n v="232"/>
    <n v="0.92"/>
    <x v="30"/>
    <n v="65"/>
    <x v="0"/>
  </r>
  <r>
    <s v="Really Don't Care"/>
    <s v="Demi Lovato"/>
    <s v="dance pop"/>
    <x v="4"/>
    <n v="0.71"/>
    <n v="202"/>
    <n v="0.73"/>
    <x v="1"/>
    <n v="70"/>
    <x v="0"/>
  </r>
  <r>
    <s v="Booty"/>
    <s v="Jennifer Lopez"/>
    <s v="dance pop"/>
    <x v="4"/>
    <n v="0.71"/>
    <n v="210"/>
    <n v="0.95"/>
    <x v="49"/>
    <n v="64"/>
    <x v="0"/>
  </r>
  <r>
    <s v="Bang Bang"/>
    <s v="Jessie J"/>
    <s v="australian pop"/>
    <x v="4"/>
    <n v="0.71"/>
    <n v="199"/>
    <n v="0.75"/>
    <x v="43"/>
    <n v="61"/>
    <x v="0"/>
  </r>
  <r>
    <s v="Reality - Radio Edit"/>
    <s v="Lost Frequencies"/>
    <s v="belgian edm"/>
    <x v="4"/>
    <n v="0.71"/>
    <n v="159"/>
    <n v="0.7"/>
    <x v="11"/>
    <n v="61"/>
    <x v="0"/>
  </r>
  <r>
    <s v="Roses"/>
    <s v="The Chainsmokers"/>
    <s v="electropop"/>
    <x v="2"/>
    <n v="0.71"/>
    <n v="227"/>
    <n v="0.8"/>
    <x v="8"/>
    <n v="74"/>
    <x v="0"/>
  </r>
  <r>
    <s v="Desire"/>
    <s v="Years &amp; Years"/>
    <s v="dance pop"/>
    <x v="2"/>
    <n v="0.71"/>
    <n v="203"/>
    <n v="0.78"/>
    <x v="30"/>
    <n v="58"/>
    <x v="0"/>
  </r>
  <r>
    <s v="Cut To The Feeling"/>
    <s v="Carly Rae Jepsen"/>
    <s v="canadian pop"/>
    <x v="3"/>
    <n v="0.71"/>
    <n v="208"/>
    <n v="0.91"/>
    <x v="13"/>
    <n v="69"/>
    <x v="0"/>
  </r>
  <r>
    <s v="Came Here for Love"/>
    <s v="Sigala"/>
    <s v="dance pop"/>
    <x v="3"/>
    <n v="0.71"/>
    <n v="203"/>
    <n v="0.87"/>
    <x v="4"/>
    <n v="70"/>
    <x v="0"/>
  </r>
  <r>
    <s v="Sorry Not Sorry"/>
    <s v="Demi Lovato"/>
    <s v="dance pop"/>
    <x v="0"/>
    <n v="0.71"/>
    <n v="204"/>
    <n v="0.64"/>
    <x v="36"/>
    <n v="81"/>
    <x v="0"/>
  </r>
  <r>
    <s v="Say Something"/>
    <s v="Justin Timberlake"/>
    <s v="dance pop"/>
    <x v="0"/>
    <n v="0.71"/>
    <n v="279"/>
    <n v="0.63"/>
    <x v="16"/>
    <n v="74"/>
    <x v="1"/>
  </r>
  <r>
    <n v="3"/>
    <s v="Britney Spears"/>
    <s v="dance pop"/>
    <x v="8"/>
    <n v="0.7"/>
    <n v="213"/>
    <n v="0.71"/>
    <x v="40"/>
    <n v="62"/>
    <x v="0"/>
  </r>
  <r>
    <s v="Bad Romance"/>
    <s v="Lady Gaga"/>
    <s v="dance pop"/>
    <x v="8"/>
    <n v="0.7"/>
    <n v="295"/>
    <n v="0.92"/>
    <x v="37"/>
    <n v="79"/>
    <x v="0"/>
  </r>
  <r>
    <s v="Misery"/>
    <s v="Maroon 5"/>
    <s v="pop"/>
    <x v="8"/>
    <n v="0.7"/>
    <n v="216"/>
    <n v="0.81"/>
    <x v="24"/>
    <n v="65"/>
    <x v="0"/>
  </r>
  <r>
    <s v="I Wanna Go"/>
    <s v="Britney Spears"/>
    <s v="dance pop"/>
    <x v="9"/>
    <n v="0.7"/>
    <n v="210"/>
    <n v="0.55000000000000004"/>
    <x v="0"/>
    <n v="64"/>
    <x v="0"/>
  </r>
  <r>
    <s v="Please Don't Go"/>
    <s v="Mike Posner"/>
    <s v="dance pop"/>
    <x v="9"/>
    <n v="0.7"/>
    <n v="197"/>
    <n v="0.88"/>
    <x v="2"/>
    <n v="63"/>
    <x v="0"/>
  </r>
  <r>
    <s v="You Da One"/>
    <s v="Rihanna"/>
    <s v="barbadian pop"/>
    <x v="6"/>
    <n v="0.7"/>
    <n v="200"/>
    <n v="0.72"/>
    <x v="35"/>
    <n v="57"/>
    <x v="0"/>
  </r>
  <r>
    <s v="Anything Could Happen"/>
    <s v="Ellie Goulding"/>
    <s v="dance pop"/>
    <x v="7"/>
    <n v="0.7"/>
    <n v="286"/>
    <n v="0.78"/>
    <x v="24"/>
    <n v="52"/>
    <x v="0"/>
  </r>
  <r>
    <s v="Wiggle (feat. Snoop Dogg)"/>
    <s v="Jason Derulo"/>
    <s v="dance pop"/>
    <x v="1"/>
    <n v="0.7"/>
    <n v="193"/>
    <n v="0.62"/>
    <x v="53"/>
    <n v="67"/>
    <x v="1"/>
  </r>
  <r>
    <s v="On My Mind"/>
    <s v="Ellie Goulding"/>
    <s v="dance pop"/>
    <x v="4"/>
    <n v="0.7"/>
    <n v="213"/>
    <n v="0.71"/>
    <x v="54"/>
    <n v="65"/>
    <x v="0"/>
  </r>
  <r>
    <s v="Make Me... (feat. G-Eazy)"/>
    <s v="Britney Spears"/>
    <s v="dance pop"/>
    <x v="2"/>
    <n v="0.7"/>
    <n v="231"/>
    <n v="0.7"/>
    <x v="20"/>
    <n v="53"/>
    <x v="0"/>
  </r>
  <r>
    <s v="Picky - Remix"/>
    <s v="Joey Montana"/>
    <s v="latin"/>
    <x v="2"/>
    <n v="0.7"/>
    <n v="225"/>
    <n v="0.81"/>
    <x v="55"/>
    <n v="29"/>
    <x v="0"/>
  </r>
  <r>
    <s v="Final Song"/>
    <s v="M0"/>
    <s v="dance pop"/>
    <x v="2"/>
    <n v="0.7"/>
    <n v="236"/>
    <n v="0.67"/>
    <x v="28"/>
    <n v="72"/>
    <x v="0"/>
  </r>
  <r>
    <s v="We Don't Talk Anymore - DROELOE Remix"/>
    <s v="Charlie Puth"/>
    <s v="dance pop"/>
    <x v="3"/>
    <n v="0.7"/>
    <n v="218"/>
    <n v="0.82"/>
    <x v="8"/>
    <n v="59"/>
    <x v="0"/>
  </r>
  <r>
    <s v="The Cure"/>
    <s v="Lady Gaga"/>
    <s v="dance pop"/>
    <x v="3"/>
    <n v="0.7"/>
    <n v="211"/>
    <n v="0.51"/>
    <x v="8"/>
    <n v="71"/>
    <x v="0"/>
  </r>
  <r>
    <s v="Greenlight (feat. Flo Rida &amp; LunchMoney Lewis)"/>
    <s v="Pitbull"/>
    <s v="dance pop"/>
    <x v="3"/>
    <n v="0.7"/>
    <n v="245"/>
    <n v="0.83"/>
    <x v="13"/>
    <n v="54"/>
    <x v="0"/>
  </r>
  <r>
    <s v="no tears left to cry"/>
    <s v="Ariana Grande"/>
    <s v="dance pop"/>
    <x v="0"/>
    <n v="0.7"/>
    <n v="206"/>
    <n v="0.71"/>
    <x v="11"/>
    <n v="84"/>
    <x v="0"/>
  </r>
  <r>
    <s v="Finesse - Remix; feat. Cardi B"/>
    <s v="Bruno Mars"/>
    <s v="pop"/>
    <x v="0"/>
    <n v="0.7"/>
    <n v="217"/>
    <n v="0.86"/>
    <x v="28"/>
    <n v="78"/>
    <x v="0"/>
  </r>
  <r>
    <s v="My My My!"/>
    <s v="Troye Sivan"/>
    <s v="dance pop"/>
    <x v="0"/>
    <n v="0.7"/>
    <n v="205"/>
    <n v="0.46"/>
    <x v="24"/>
    <n v="76"/>
    <x v="0"/>
  </r>
  <r>
    <s v="No Guidance (feat. Drake)"/>
    <s v="Chris Brown"/>
    <s v="dance pop"/>
    <x v="5"/>
    <n v="0.7"/>
    <n v="261"/>
    <n v="0.45"/>
    <x v="38"/>
    <n v="81"/>
    <x v="1"/>
  </r>
  <r>
    <s v="Kills You Slowly"/>
    <s v="The Chainsmokers"/>
    <s v="electropop"/>
    <x v="5"/>
    <n v="0.7"/>
    <n v="213"/>
    <n v="0.44"/>
    <x v="43"/>
    <n v="67"/>
    <x v="0"/>
  </r>
  <r>
    <s v="Till the World Ends"/>
    <s v="Britney Spears"/>
    <s v="dance pop"/>
    <x v="9"/>
    <n v="0.69"/>
    <n v="238"/>
    <n v="0.71"/>
    <x v="56"/>
    <n v="65"/>
    <x v="0"/>
  </r>
  <r>
    <s v="Tonight Tonight"/>
    <s v="Hot Chelle Rae"/>
    <s v="dance pop"/>
    <x v="9"/>
    <n v="0.69"/>
    <n v="200"/>
    <n v="0.78"/>
    <x v="8"/>
    <n v="75"/>
    <x v="0"/>
  </r>
  <r>
    <s v="What's My Name?"/>
    <s v="Rihanna"/>
    <s v="barbadian pop"/>
    <x v="9"/>
    <n v="0.69"/>
    <n v="263"/>
    <n v="0.79"/>
    <x v="8"/>
    <n v="69"/>
    <x v="0"/>
  </r>
  <r>
    <s v="The One That Got Away"/>
    <s v="Katy Perry"/>
    <s v="dance pop"/>
    <x v="6"/>
    <n v="0.69"/>
    <n v="227"/>
    <n v="0.8"/>
    <x v="15"/>
    <n v="67"/>
    <x v="0"/>
  </r>
  <r>
    <s v="Ooh La La (from &quot;The Smurfs 2&quot;)"/>
    <s v="Britney Spears"/>
    <s v="dance pop"/>
    <x v="7"/>
    <n v="0.69"/>
    <n v="257"/>
    <n v="0.56999999999999995"/>
    <x v="22"/>
    <n v="45"/>
    <x v="0"/>
  </r>
  <r>
    <s v="Live It Up"/>
    <s v="Jennifer Lopez"/>
    <s v="dance pop"/>
    <x v="7"/>
    <n v="0.69"/>
    <n v="244"/>
    <n v="0.73"/>
    <x v="22"/>
    <n v="57"/>
    <x v="0"/>
  </r>
  <r>
    <s v="This Is How We Do"/>
    <s v="Katy Perry"/>
    <s v="dance pop"/>
    <x v="1"/>
    <n v="0.69"/>
    <n v="204"/>
    <n v="0.64"/>
    <x v="17"/>
    <n v="66"/>
    <x v="1"/>
  </r>
  <r>
    <s v="Team"/>
    <s v="Lorde"/>
    <s v="art pop"/>
    <x v="1"/>
    <n v="0.69"/>
    <n v="193"/>
    <n v="0.57999999999999996"/>
    <x v="8"/>
    <n v="73"/>
    <x v="0"/>
  </r>
  <r>
    <s v="Can't Remember to Forget You (feat. Rihanna)"/>
    <s v="Shakira"/>
    <s v="colombian pop"/>
    <x v="1"/>
    <n v="0.69"/>
    <n v="207"/>
    <n v="0.81"/>
    <x v="18"/>
    <n v="62"/>
    <x v="0"/>
  </r>
  <r>
    <s v="Break Free"/>
    <s v="Ariana Grande"/>
    <s v="dance pop"/>
    <x v="4"/>
    <n v="0.69"/>
    <n v="215"/>
    <n v="0.7"/>
    <x v="0"/>
    <n v="75"/>
    <x v="0"/>
  </r>
  <r>
    <s v="My House"/>
    <s v="Flo Rida"/>
    <s v="dance pop"/>
    <x v="4"/>
    <n v="0.69"/>
    <n v="192"/>
    <n v="0.7"/>
    <x v="29"/>
    <n v="77"/>
    <x v="1"/>
  </r>
  <r>
    <s v="Baby Don't Lie"/>
    <s v="Gwen Stefani"/>
    <s v="dance pop"/>
    <x v="4"/>
    <n v="0.69"/>
    <n v="203"/>
    <n v="0.55000000000000004"/>
    <x v="8"/>
    <n v="52"/>
    <x v="0"/>
  </r>
  <r>
    <s v="Up"/>
    <s v="Olly Murs"/>
    <s v="dance pop"/>
    <x v="4"/>
    <n v="0.69"/>
    <n v="224"/>
    <n v="0.85"/>
    <x v="13"/>
    <n v="69"/>
    <x v="0"/>
  </r>
  <r>
    <s v="Fireball (feat. John Ryan)"/>
    <s v="Pitbull"/>
    <s v="dance pop"/>
    <x v="4"/>
    <n v="0.69"/>
    <n v="235"/>
    <n v="0.94"/>
    <x v="20"/>
    <n v="67"/>
    <x v="0"/>
  </r>
  <r>
    <s v="See You Again (feat. Charlie Puth)"/>
    <s v="Wiz Khalifa"/>
    <s v="hip hop"/>
    <x v="4"/>
    <n v="0.69"/>
    <n v="230"/>
    <n v="0.48"/>
    <x v="57"/>
    <n v="56"/>
    <x v="1"/>
  </r>
  <r>
    <s v="Send My Love (To Your New Lover)"/>
    <s v="Adele"/>
    <s v="british soul"/>
    <x v="2"/>
    <n v="0.69"/>
    <n v="223"/>
    <n v="0.52"/>
    <x v="58"/>
    <n v="61"/>
    <x v="0"/>
  </r>
  <r>
    <s v="Tired"/>
    <s v="Alan Walker"/>
    <s v="electro house"/>
    <x v="3"/>
    <n v="0.69"/>
    <n v="192"/>
    <n v="0.88"/>
    <x v="3"/>
    <n v="70"/>
    <x v="0"/>
  </r>
  <r>
    <s v="Cold (feat. Future)"/>
    <s v="Maroon 5"/>
    <s v="pop"/>
    <x v="3"/>
    <n v="0.69"/>
    <n v="234"/>
    <n v="0.72"/>
    <x v="8"/>
    <n v="72"/>
    <x v="0"/>
  </r>
  <r>
    <s v="No Vacancy (with Sebasti醤 Yatra)"/>
    <s v="OneRepublic"/>
    <s v="dance pop"/>
    <x v="3"/>
    <n v="0.69"/>
    <n v="223"/>
    <n v="0.76"/>
    <x v="8"/>
    <n v="57"/>
    <x v="0"/>
  </r>
  <r>
    <s v="Stay"/>
    <s v="Zedd"/>
    <s v="complextro"/>
    <x v="3"/>
    <n v="0.69"/>
    <n v="210"/>
    <n v="0.62"/>
    <x v="27"/>
    <n v="80"/>
    <x v="0"/>
  </r>
  <r>
    <s v="Chun-Li"/>
    <s v="Nicki Minaj"/>
    <s v="dance pop"/>
    <x v="0"/>
    <n v="0.69"/>
    <n v="192"/>
    <n v="0.73"/>
    <x v="49"/>
    <n v="73"/>
    <x v="0"/>
  </r>
  <r>
    <s v="Higher Love"/>
    <s v="Kygo"/>
    <s v="edm"/>
    <x v="5"/>
    <n v="0.69"/>
    <n v="228"/>
    <n v="0.68"/>
    <x v="46"/>
    <n v="88"/>
    <x v="0"/>
  </r>
  <r>
    <s v="Happier"/>
    <s v="Marshmello"/>
    <s v="brostep"/>
    <x v="5"/>
    <n v="0.69"/>
    <n v="214"/>
    <n v="0.79"/>
    <x v="8"/>
    <n v="90"/>
    <x v="0"/>
  </r>
  <r>
    <s v="My First Kiss - feat. Ke$ha"/>
    <s v="3OH!3"/>
    <s v="dance pop"/>
    <x v="8"/>
    <n v="0.68"/>
    <n v="192"/>
    <n v="0.89"/>
    <x v="18"/>
    <n v="62"/>
    <x v="0"/>
  </r>
  <r>
    <s v="Raise Your Glass"/>
    <s v="P!nk"/>
    <s v="dance pop"/>
    <x v="9"/>
    <n v="0.68"/>
    <n v="208"/>
    <n v="0.64"/>
    <x v="11"/>
    <n v="38"/>
    <x v="0"/>
  </r>
  <r>
    <s v="Lights - Single Version"/>
    <s v="Ellie Goulding"/>
    <s v="dance pop"/>
    <x v="6"/>
    <n v="0.68"/>
    <n v="211"/>
    <n v="0.8"/>
    <x v="2"/>
    <n v="65"/>
    <x v="0"/>
  </r>
  <r>
    <s v="Part Of Me"/>
    <s v="Katy Perry"/>
    <s v="dance pop"/>
    <x v="6"/>
    <n v="0.68"/>
    <n v="216"/>
    <n v="0.92"/>
    <x v="0"/>
    <n v="71"/>
    <x v="0"/>
  </r>
  <r>
    <s v="Pom Poms"/>
    <s v="Jonas Brothers"/>
    <s v="boy band"/>
    <x v="7"/>
    <n v="0.68"/>
    <n v="198"/>
    <n v="0.98"/>
    <x v="59"/>
    <n v="52"/>
    <x v="0"/>
  </r>
  <r>
    <s v="#Beautiful"/>
    <s v="Mariah Carey"/>
    <s v="dance pop"/>
    <x v="7"/>
    <n v="0.68"/>
    <n v="200"/>
    <n v="0.76"/>
    <x v="23"/>
    <n v="51"/>
    <x v="0"/>
  </r>
  <r>
    <s v="Love Somebody"/>
    <s v="Maroon 5"/>
    <s v="pop"/>
    <x v="7"/>
    <n v="0.68"/>
    <n v="230"/>
    <n v="0.78"/>
    <x v="2"/>
    <n v="65"/>
    <x v="0"/>
  </r>
  <r>
    <s v="Pompeii"/>
    <s v="Bastille"/>
    <s v="metropopolis"/>
    <x v="1"/>
    <n v="0.68"/>
    <n v="214"/>
    <n v="0.72"/>
    <x v="35"/>
    <n v="73"/>
    <x v="0"/>
  </r>
  <r>
    <s v="Tee Shirt - Soundtrack Version"/>
    <s v="Birdy"/>
    <s v="neo mellow"/>
    <x v="1"/>
    <n v="0.68"/>
    <n v="160"/>
    <n v="0.34"/>
    <x v="60"/>
    <n v="49"/>
    <x v="1"/>
  </r>
  <r>
    <s v="Boom Clap - From the Motion Picture Das Schicksal ist ein mieser Verr鋞er"/>
    <s v="Charli XCX"/>
    <s v="candy pop"/>
    <x v="1"/>
    <n v="0.68"/>
    <n v="169"/>
    <n v="0.81"/>
    <x v="50"/>
    <n v="50"/>
    <x v="1"/>
  </r>
  <r>
    <s v="Jealous - Remix"/>
    <s v="Nick Jonas"/>
    <s v="dance pop"/>
    <x v="4"/>
    <n v="0.68"/>
    <n v="222"/>
    <n v="0.71"/>
    <x v="38"/>
    <n v="70"/>
    <x v="1"/>
  </r>
  <r>
    <s v="Celebrate (From the Original Motion Picture &quot;Penguins of Madagascar&quot;)"/>
    <s v="Pitbull"/>
    <s v="dance pop"/>
    <x v="4"/>
    <n v="0.68"/>
    <n v="193"/>
    <n v="0.85"/>
    <x v="35"/>
    <n v="50"/>
    <x v="0"/>
  </r>
  <r>
    <s v="I'm Not The Only One"/>
    <s v="Sam Smith"/>
    <s v="pop"/>
    <x v="4"/>
    <n v="0.68"/>
    <n v="239"/>
    <n v="0.49"/>
    <x v="53"/>
    <n v="84"/>
    <x v="1"/>
  </r>
  <r>
    <s v="Easy Love"/>
    <s v="Sigala"/>
    <s v="dance pop"/>
    <x v="4"/>
    <n v="0.68"/>
    <n v="230"/>
    <n v="0.94"/>
    <x v="3"/>
    <n v="67"/>
    <x v="0"/>
  </r>
  <r>
    <s v="I Know What You Did Last Summer"/>
    <s v="Shawn Mendes"/>
    <s v="canadian pop"/>
    <x v="2"/>
    <n v="0.68"/>
    <n v="224"/>
    <n v="0.77"/>
    <x v="33"/>
    <n v="57"/>
    <x v="0"/>
  </r>
  <r>
    <s v="Remember I Told You"/>
    <s v="Nick Jonas"/>
    <s v="dance pop"/>
    <x v="3"/>
    <n v="0.68"/>
    <n v="202"/>
    <n v="0.53"/>
    <x v="45"/>
    <n v="53"/>
    <x v="0"/>
  </r>
  <r>
    <s v="Starboy"/>
    <s v="The Weeknd"/>
    <s v="canadian contemporary r&amp;b"/>
    <x v="3"/>
    <n v="0.68"/>
    <n v="230"/>
    <n v="0.59"/>
    <x v="55"/>
    <n v="85"/>
    <x v="0"/>
  </r>
  <r>
    <s v="Bad At Love"/>
    <s v="Halsey"/>
    <s v="dance pop"/>
    <x v="0"/>
    <n v="0.68"/>
    <n v="181"/>
    <n v="0.75"/>
    <x v="31"/>
    <n v="78"/>
    <x v="0"/>
  </r>
  <r>
    <s v="This Town"/>
    <s v="Niall Horan"/>
    <s v="dance pop"/>
    <x v="0"/>
    <n v="0.68"/>
    <n v="233"/>
    <n v="0.41"/>
    <x v="26"/>
    <n v="64"/>
    <x v="0"/>
  </r>
  <r>
    <s v="Hello"/>
    <s v="Martin Solveig"/>
    <s v="big room"/>
    <x v="8"/>
    <n v="0.67"/>
    <n v="191"/>
    <n v="0.98"/>
    <x v="22"/>
    <n v="0"/>
    <x v="0"/>
  </r>
  <r>
    <s v="Break Your Heart"/>
    <s v="Taio Cruz"/>
    <s v="dance pop"/>
    <x v="8"/>
    <n v="0.67"/>
    <n v="186"/>
    <n v="0.9"/>
    <x v="11"/>
    <n v="33"/>
    <x v="0"/>
  </r>
  <r>
    <s v="Hey, Soul Sister"/>
    <s v="Train"/>
    <s v="neo mellow"/>
    <x v="8"/>
    <n v="0.67"/>
    <n v="217"/>
    <n v="0.89"/>
    <x v="16"/>
    <n v="83"/>
    <x v="1"/>
  </r>
  <r>
    <s v="Give Me Everything"/>
    <s v="Pitbull"/>
    <s v="dance pop"/>
    <x v="9"/>
    <n v="0.67"/>
    <n v="252"/>
    <n v="0.94"/>
    <x v="49"/>
    <n v="79"/>
    <x v="0"/>
  </r>
  <r>
    <s v="Some Nights"/>
    <s v="fun."/>
    <s v="baroque pop"/>
    <x v="6"/>
    <n v="0.67"/>
    <n v="277"/>
    <n v="0.74"/>
    <x v="44"/>
    <n v="72"/>
    <x v="0"/>
  </r>
  <r>
    <s v="Try"/>
    <s v="P!nk"/>
    <s v="dance pop"/>
    <x v="6"/>
    <n v="0.67"/>
    <n v="248"/>
    <n v="0.63"/>
    <x v="46"/>
    <n v="74"/>
    <x v="0"/>
  </r>
  <r>
    <s v="International Love"/>
    <s v="Pitbull"/>
    <s v="dance pop"/>
    <x v="6"/>
    <n v="0.67"/>
    <n v="227"/>
    <n v="0.86"/>
    <x v="2"/>
    <n v="72"/>
    <x v="0"/>
  </r>
  <r>
    <s v="Next To Me"/>
    <s v="Emeli Sande"/>
    <s v="dance pop"/>
    <x v="7"/>
    <n v="0.67"/>
    <n v="197"/>
    <n v="0.8"/>
    <x v="5"/>
    <n v="60"/>
    <x v="1"/>
  </r>
  <r>
    <s v="Applause"/>
    <s v="Lady Gaga"/>
    <s v="dance pop"/>
    <x v="7"/>
    <n v="0.67"/>
    <n v="212"/>
    <n v="0.78"/>
    <x v="39"/>
    <n v="52"/>
    <x v="0"/>
  </r>
  <r>
    <s v="Feel This Moment (feat. Christina Aguilera)"/>
    <s v="Pitbull"/>
    <s v="dance pop"/>
    <x v="7"/>
    <n v="0.67"/>
    <n v="230"/>
    <n v="0.76"/>
    <x v="7"/>
    <n v="70"/>
    <x v="0"/>
  </r>
  <r>
    <s v="Give It 2 U"/>
    <s v="Robin Thicke"/>
    <s v="dance pop"/>
    <x v="7"/>
    <n v="0.67"/>
    <n v="230"/>
    <n v="0.83"/>
    <x v="35"/>
    <n v="41"/>
    <x v="0"/>
  </r>
  <r>
    <s v="Focus"/>
    <s v="Ariana Grande"/>
    <s v="dance pop"/>
    <x v="4"/>
    <n v="0.67"/>
    <n v="211"/>
    <n v="0.88"/>
    <x v="8"/>
    <n v="66"/>
    <x v="0"/>
  </r>
  <r>
    <s v="Living For Love"/>
    <s v="Madonna"/>
    <s v="dance pop"/>
    <x v="4"/>
    <n v="0.67"/>
    <n v="219"/>
    <n v="0.79"/>
    <x v="20"/>
    <n v="52"/>
    <x v="0"/>
  </r>
  <r>
    <s v="Night Changes"/>
    <s v="One Direction"/>
    <s v="boy band"/>
    <x v="4"/>
    <n v="0.67"/>
    <n v="227"/>
    <n v="0.52"/>
    <x v="2"/>
    <n v="77"/>
    <x v="0"/>
  </r>
  <r>
    <s v="Lay It All on Me"/>
    <s v="Rudimental"/>
    <s v="dance pop"/>
    <x v="4"/>
    <n v="0.67"/>
    <n v="242"/>
    <n v="0.75"/>
    <x v="20"/>
    <n v="62"/>
    <x v="0"/>
  </r>
  <r>
    <s v="Same Old Love"/>
    <s v="Selena Gomez"/>
    <s v="dance pop"/>
    <x v="4"/>
    <n v="0.67"/>
    <n v="229"/>
    <n v="0.59"/>
    <x v="14"/>
    <n v="69"/>
    <x v="1"/>
  </r>
  <r>
    <s v="CAN'T STOP THE FEELING! (Original Song from DreamWorks Animation's &quot;TROLLS&quot;)"/>
    <s v="Justin Timberlake"/>
    <s v="dance pop"/>
    <x v="2"/>
    <n v="0.67"/>
    <n v="236"/>
    <n v="0.83"/>
    <x v="45"/>
    <n v="79"/>
    <x v="0"/>
  </r>
  <r>
    <s v="Million Reasons"/>
    <s v="Lady Gaga"/>
    <s v="dance pop"/>
    <x v="2"/>
    <n v="0.67"/>
    <n v="205"/>
    <n v="0.42"/>
    <x v="0"/>
    <n v="80"/>
    <x v="0"/>
  </r>
  <r>
    <s v="Needed Me"/>
    <s v="Rihanna"/>
    <s v="barbadian pop"/>
    <x v="2"/>
    <n v="0.67"/>
    <n v="192"/>
    <n v="0.31"/>
    <x v="25"/>
    <n v="80"/>
    <x v="0"/>
  </r>
  <r>
    <s v="Cool Girl"/>
    <s v="Tove Lo"/>
    <s v="dance pop"/>
    <x v="2"/>
    <n v="0.67"/>
    <n v="199"/>
    <n v="0.69"/>
    <x v="27"/>
    <n v="69"/>
    <x v="0"/>
  </r>
  <r>
    <s v="The Greatest"/>
    <s v="Sia"/>
    <s v="australian dance"/>
    <x v="3"/>
    <n v="0.67"/>
    <n v="210"/>
    <n v="0.73"/>
    <x v="61"/>
    <n v="76"/>
    <x v="0"/>
  </r>
  <r>
    <s v="Wild Thoughts (feat. Rihanna &amp; Bryson Tiller)"/>
    <s v="DJ Khaled"/>
    <s v="dance pop"/>
    <x v="0"/>
    <n v="0.67"/>
    <n v="204"/>
    <n v="0.67"/>
    <x v="14"/>
    <n v="76"/>
    <x v="1"/>
  </r>
  <r>
    <s v="Good as Hell (feat. Ariana Grande) - Remix"/>
    <s v="Lizzo"/>
    <s v="escape room"/>
    <x v="5"/>
    <n v="0.67"/>
    <n v="159"/>
    <n v="0.89"/>
    <x v="17"/>
    <n v="90"/>
    <x v="1"/>
  </r>
  <r>
    <s v="Don't Call Me Up"/>
    <s v="Mabel"/>
    <s v="dance pop"/>
    <x v="5"/>
    <n v="0.67"/>
    <n v="178"/>
    <n v="0.88"/>
    <x v="62"/>
    <n v="86"/>
    <x v="1"/>
  </r>
  <r>
    <s v="DJ Got Us Fallin' In Love (feat. Pitbull)"/>
    <s v="Usher"/>
    <s v="atl hip hop"/>
    <x v="8"/>
    <n v="0.66"/>
    <n v="221"/>
    <n v="0.86"/>
    <x v="2"/>
    <n v="52"/>
    <x v="0"/>
  </r>
  <r>
    <s v="Judas"/>
    <s v="Lady Gaga"/>
    <s v="dance pop"/>
    <x v="9"/>
    <n v="0.66"/>
    <n v="249"/>
    <n v="0.93"/>
    <x v="63"/>
    <n v="63"/>
    <x v="0"/>
  </r>
  <r>
    <s v="Just Can抰 Get Enough"/>
    <s v="The Black Eyed Peas"/>
    <s v="dance pop"/>
    <x v="9"/>
    <n v="0.66"/>
    <n v="219"/>
    <n v="0.63"/>
    <x v="29"/>
    <n v="71"/>
    <x v="1"/>
  </r>
  <r>
    <s v="Daylight"/>
    <s v="Maroon 5"/>
    <s v="pop"/>
    <x v="7"/>
    <n v="0.66"/>
    <n v="225"/>
    <n v="0.67"/>
    <x v="2"/>
    <n v="66"/>
    <x v="0"/>
  </r>
  <r>
    <s v="Let Me Love You (Until You Learn To Love Yourself)"/>
    <s v="Ne-Yo"/>
    <s v="dance pop"/>
    <x v="7"/>
    <n v="0.66"/>
    <n v="252"/>
    <n v="0.68"/>
    <x v="4"/>
    <n v="70"/>
    <x v="0"/>
  </r>
  <r>
    <s v="Problem"/>
    <s v="Ariana Grande"/>
    <s v="dance pop"/>
    <x v="1"/>
    <n v="0.66"/>
    <n v="194"/>
    <n v="0.81"/>
    <x v="24"/>
    <n v="75"/>
    <x v="0"/>
  </r>
  <r>
    <s v="Dear Future Husband"/>
    <s v="Meghan Trainor"/>
    <s v="dance pop"/>
    <x v="4"/>
    <n v="0.66"/>
    <n v="184"/>
    <n v="0.78"/>
    <x v="32"/>
    <n v="72"/>
    <x v="1"/>
  </r>
  <r>
    <s v="Earned It (Fifty Shades Of Grey) - From The &quot;Fifty Shades Of Grey&quot; Soundtrack"/>
    <s v="The Weeknd"/>
    <s v="canadian contemporary r&amp;b"/>
    <x v="4"/>
    <n v="0.66"/>
    <n v="252"/>
    <n v="0.38"/>
    <x v="2"/>
    <n v="79"/>
    <x v="0"/>
  </r>
  <r>
    <s v="Dangerous Woman"/>
    <s v="Ariana Grande"/>
    <s v="dance pop"/>
    <x v="2"/>
    <n v="0.66"/>
    <n v="236"/>
    <n v="0.6"/>
    <x v="15"/>
    <n v="78"/>
    <x v="0"/>
  </r>
  <r>
    <s v="I Took A Pill In Ibiza - Seeb Remix"/>
    <s v="Mike Posner"/>
    <s v="dance pop"/>
    <x v="2"/>
    <n v="0.66"/>
    <n v="198"/>
    <n v="0.71"/>
    <x v="27"/>
    <n v="78"/>
    <x v="0"/>
  </r>
  <r>
    <s v="All We Know"/>
    <s v="The Chainsmokers"/>
    <s v="electropop"/>
    <x v="2"/>
    <n v="0.66"/>
    <n v="194"/>
    <n v="0.59"/>
    <x v="21"/>
    <n v="72"/>
    <x v="1"/>
  </r>
  <r>
    <s v="Let Me Go (with Alesso, Florida Georgia Line &amp; watt)"/>
    <s v="Hailee Steinfeld"/>
    <s v="dance pop"/>
    <x v="0"/>
    <n v="0.66"/>
    <n v="175"/>
    <n v="0.71"/>
    <x v="24"/>
    <n v="82"/>
    <x v="0"/>
  </r>
  <r>
    <s v="Capital Letters"/>
    <s v="Hailee Steinfeld"/>
    <s v="dance pop"/>
    <x v="0"/>
    <n v="0.66"/>
    <n v="219"/>
    <n v="0.81"/>
    <x v="8"/>
    <n v="76"/>
    <x v="0"/>
  </r>
  <r>
    <s v="Wait"/>
    <s v="Maroon 5"/>
    <s v="pop"/>
    <x v="0"/>
    <n v="0.66"/>
    <n v="191"/>
    <n v="0.6"/>
    <x v="30"/>
    <n v="67"/>
    <x v="0"/>
  </r>
  <r>
    <s v="Sick Boy"/>
    <s v="The Chainsmokers"/>
    <s v="electropop"/>
    <x v="0"/>
    <n v="0.66"/>
    <n v="193"/>
    <n v="0.57999999999999996"/>
    <x v="21"/>
    <n v="76"/>
    <x v="1"/>
  </r>
  <r>
    <s v="If I Had You"/>
    <s v="Adam Lambert"/>
    <s v="australian pop"/>
    <x v="8"/>
    <n v="0.65"/>
    <n v="228"/>
    <n v="0.91"/>
    <x v="63"/>
    <n v="59"/>
    <x v="0"/>
  </r>
  <r>
    <s v="I Like It"/>
    <s v="Enrique Iglesias"/>
    <s v="dance pop"/>
    <x v="8"/>
    <n v="0.65"/>
    <n v="231"/>
    <n v="0.94"/>
    <x v="49"/>
    <n v="63"/>
    <x v="0"/>
  </r>
  <r>
    <s v="Love On Top"/>
    <s v="Beyonce"/>
    <s v="dance pop"/>
    <x v="9"/>
    <n v="0.65"/>
    <n v="267"/>
    <n v="0.75"/>
    <x v="29"/>
    <n v="76"/>
    <x v="1"/>
  </r>
  <r>
    <s v="Hold It Against Me"/>
    <s v="Britney Spears"/>
    <s v="dance pop"/>
    <x v="9"/>
    <n v="0.65"/>
    <n v="229"/>
    <n v="0.72"/>
    <x v="64"/>
    <n v="59"/>
    <x v="0"/>
  </r>
  <r>
    <s v="Tonight (I'm Fuckin' You)"/>
    <s v="Enrique Iglesias"/>
    <s v="dance pop"/>
    <x v="9"/>
    <n v="0.65"/>
    <n v="232"/>
    <n v="0.89"/>
    <x v="30"/>
    <n v="63"/>
    <x v="0"/>
  </r>
  <r>
    <s v="Last Friday Night (T.G.I.F.)"/>
    <s v="Katy Perry"/>
    <s v="dance pop"/>
    <x v="9"/>
    <n v="0.65"/>
    <n v="231"/>
    <n v="0.81"/>
    <x v="30"/>
    <n v="27"/>
    <x v="0"/>
  </r>
  <r>
    <s v="Stereo Hearts (feat. Adam Levine)"/>
    <s v="Gym Class Heroes"/>
    <s v="dance pop"/>
    <x v="6"/>
    <n v="0.65"/>
    <n v="211"/>
    <n v="0.8"/>
    <x v="21"/>
    <n v="54"/>
    <x v="1"/>
  </r>
  <r>
    <s v="The Way"/>
    <s v="Ariana Grande"/>
    <s v="dance pop"/>
    <x v="7"/>
    <n v="0.65"/>
    <n v="227"/>
    <n v="0.88"/>
    <x v="53"/>
    <n v="68"/>
    <x v="1"/>
  </r>
  <r>
    <s v="Freak"/>
    <s v="Kelly Rowland"/>
    <s v="atl hip hop"/>
    <x v="7"/>
    <n v="0.65"/>
    <n v="274"/>
    <n v="0.78"/>
    <x v="46"/>
    <n v="28"/>
    <x v="0"/>
  </r>
  <r>
    <s v="Best Song Ever"/>
    <s v="One Direction"/>
    <s v="boy band"/>
    <x v="7"/>
    <n v="0.65"/>
    <n v="200"/>
    <n v="0.88"/>
    <x v="31"/>
    <n v="73"/>
    <x v="0"/>
  </r>
  <r>
    <s v="Dark Horse"/>
    <s v="Katy Perry"/>
    <s v="dance pop"/>
    <x v="1"/>
    <n v="0.65"/>
    <n v="216"/>
    <n v="0.59"/>
    <x v="56"/>
    <n v="78"/>
    <x v="0"/>
  </r>
  <r>
    <s v="Happy - From &quot;Despicable Me 2&quot;"/>
    <s v="Pharrell Williams"/>
    <s v="dance pop"/>
    <x v="1"/>
    <n v="0.65"/>
    <n v="233"/>
    <n v="0.82"/>
    <x v="65"/>
    <n v="79"/>
    <x v="0"/>
  </r>
  <r>
    <s v="Shake It Off"/>
    <s v="Taylor Swift"/>
    <s v="pop"/>
    <x v="1"/>
    <n v="0.65"/>
    <n v="219"/>
    <n v="0.8"/>
    <x v="65"/>
    <n v="78"/>
    <x v="0"/>
  </r>
  <r>
    <s v="Sorry"/>
    <s v="Justin Bieber"/>
    <s v="canadian pop"/>
    <x v="4"/>
    <n v="0.65"/>
    <n v="201"/>
    <n v="0.76"/>
    <x v="8"/>
    <n v="81"/>
    <x v="0"/>
  </r>
  <r>
    <s v="Perfect"/>
    <s v="One Direction"/>
    <s v="boy band"/>
    <x v="4"/>
    <n v="0.65"/>
    <n v="230"/>
    <n v="0.82"/>
    <x v="8"/>
    <n v="55"/>
    <x v="0"/>
  </r>
  <r>
    <s v="Higher"/>
    <s v="Carly Rae Jepsen"/>
    <s v="canadian pop"/>
    <x v="2"/>
    <n v="0.65"/>
    <n v="234"/>
    <n v="0.87"/>
    <x v="33"/>
    <n v="46"/>
    <x v="0"/>
  </r>
  <r>
    <s v="Close"/>
    <s v="Nick Jonas"/>
    <s v="dance pop"/>
    <x v="2"/>
    <n v="0.65"/>
    <n v="234"/>
    <n v="0.62"/>
    <x v="3"/>
    <n v="72"/>
    <x v="0"/>
  </r>
  <r>
    <s v="Side To Side"/>
    <s v="Ariana Grande"/>
    <s v="dance pop"/>
    <x v="3"/>
    <n v="0.65"/>
    <n v="226"/>
    <n v="0.74"/>
    <x v="66"/>
    <n v="80"/>
    <x v="0"/>
  </r>
  <r>
    <s v="Let Me Love You"/>
    <s v="DJ Snake"/>
    <s v="electronic trap"/>
    <x v="3"/>
    <n v="0.65"/>
    <n v="206"/>
    <n v="0.72"/>
    <x v="8"/>
    <n v="82"/>
    <x v="0"/>
  </r>
  <r>
    <s v="Body Moves"/>
    <s v="DNCE"/>
    <s v="dance pop"/>
    <x v="3"/>
    <n v="0.65"/>
    <n v="236"/>
    <n v="0.69"/>
    <x v="27"/>
    <n v="62"/>
    <x v="0"/>
  </r>
  <r>
    <s v="Despacito - Remix"/>
    <s v="Luis Fonsi"/>
    <s v="latin"/>
    <x v="3"/>
    <n v="0.65"/>
    <n v="229"/>
    <n v="0.82"/>
    <x v="67"/>
    <n v="76"/>
    <x v="0"/>
  </r>
  <r>
    <s v="OK - Spotify Version"/>
    <s v="Robin Schulz"/>
    <s v="dance pop"/>
    <x v="3"/>
    <n v="0.65"/>
    <n v="189"/>
    <n v="0.81"/>
    <x v="11"/>
    <n v="69"/>
    <x v="0"/>
  </r>
  <r>
    <s v="Paris"/>
    <s v="The Chainsmokers"/>
    <s v="electropop"/>
    <x v="3"/>
    <n v="0.65"/>
    <n v="222"/>
    <n v="0.64"/>
    <x v="8"/>
    <n v="76"/>
    <x v="0"/>
  </r>
  <r>
    <s v="These Days"/>
    <s v="Rudimental"/>
    <s v="dance pop"/>
    <x v="0"/>
    <n v="0.65"/>
    <n v="211"/>
    <n v="0.81"/>
    <x v="50"/>
    <n v="80"/>
    <x v="1"/>
  </r>
  <r>
    <s v="End Game"/>
    <s v="Taylor Swift"/>
    <s v="pop"/>
    <x v="0"/>
    <n v="0.65"/>
    <n v="245"/>
    <n v="0.59"/>
    <x v="66"/>
    <n v="70"/>
    <x v="0"/>
  </r>
  <r>
    <s v="Just the Way You Are"/>
    <s v="Bruno Mars"/>
    <s v="pop"/>
    <x v="8"/>
    <n v="0.64"/>
    <n v="221"/>
    <n v="0.84"/>
    <x v="6"/>
    <n v="78"/>
    <x v="0"/>
  </r>
  <r>
    <s v="Written in the Stars (feat. Eric Turner)"/>
    <s v="Tinie Tempah"/>
    <s v="dance pop"/>
    <x v="8"/>
    <n v="0.64"/>
    <n v="220"/>
    <n v="0.95"/>
    <x v="41"/>
    <n v="52"/>
    <x v="1"/>
  </r>
  <r>
    <s v="Just the Way You Are"/>
    <s v="Bruno Mars"/>
    <s v="pop"/>
    <x v="9"/>
    <n v="0.64"/>
    <n v="221"/>
    <n v="0.84"/>
    <x v="6"/>
    <n v="78"/>
    <x v="0"/>
  </r>
  <r>
    <s v="Price Tag"/>
    <s v="Jessie J"/>
    <s v="australian pop"/>
    <x v="9"/>
    <n v="0.64"/>
    <n v="223"/>
    <n v="0.83"/>
    <x v="68"/>
    <n v="72"/>
    <x v="0"/>
  </r>
  <r>
    <s v="Firework"/>
    <s v="Katy Perry"/>
    <s v="dance pop"/>
    <x v="9"/>
    <n v="0.64"/>
    <n v="228"/>
    <n v="0.83"/>
    <x v="3"/>
    <n v="25"/>
    <x v="0"/>
  </r>
  <r>
    <s v="Written in the Stars (feat. Eric Turner)"/>
    <s v="Tinie Tempah"/>
    <s v="dance pop"/>
    <x v="9"/>
    <n v="0.64"/>
    <n v="220"/>
    <n v="0.95"/>
    <x v="41"/>
    <n v="52"/>
    <x v="1"/>
  </r>
  <r>
    <s v="It's On Again - Main Soundtrack"/>
    <s v="Alicia Keys"/>
    <s v="hip pop"/>
    <x v="1"/>
    <n v="0.64"/>
    <n v="230"/>
    <n v="0.54"/>
    <x v="19"/>
    <n v="30"/>
    <x v="0"/>
  </r>
  <r>
    <s v="We Are Here"/>
    <s v="Alicia Keys"/>
    <s v="hip pop"/>
    <x v="4"/>
    <n v="0.64"/>
    <n v="285"/>
    <n v="0.67"/>
    <x v="38"/>
    <n v="49"/>
    <x v="1"/>
  </r>
  <r>
    <s v="Sugar (feat. Francesco Yates)"/>
    <s v="Robin Schulz"/>
    <s v="dance pop"/>
    <x v="4"/>
    <n v="0.64"/>
    <n v="219"/>
    <n v="0.82"/>
    <x v="20"/>
    <n v="60"/>
    <x v="0"/>
  </r>
  <r>
    <s v="It Ain't Me (with Selena Gomez)"/>
    <s v="Kygo"/>
    <s v="edm"/>
    <x v="3"/>
    <n v="0.64"/>
    <n v="221"/>
    <n v="0.53"/>
    <x v="8"/>
    <n v="79"/>
    <x v="0"/>
  </r>
  <r>
    <s v="Touch (feat. Kid Ink)"/>
    <s v="Little Mix"/>
    <s v="dance pop"/>
    <x v="3"/>
    <n v="0.64"/>
    <n v="203"/>
    <n v="0.75"/>
    <x v="27"/>
    <n v="59"/>
    <x v="0"/>
  </r>
  <r>
    <s v="Familiar"/>
    <s v="Liam Payne"/>
    <s v="dance pop"/>
    <x v="0"/>
    <n v="0.64"/>
    <n v="197"/>
    <n v="0.81"/>
    <x v="38"/>
    <n v="72"/>
    <x v="1"/>
  </r>
  <r>
    <s v="Beautiful People (feat. Khalid)"/>
    <s v="Ed Sheeran"/>
    <s v="pop"/>
    <x v="5"/>
    <n v="0.64"/>
    <n v="198"/>
    <n v="0.65"/>
    <x v="38"/>
    <n v="86"/>
    <x v="1"/>
  </r>
  <r>
    <s v="Alejandro"/>
    <s v="Lady Gaga"/>
    <s v="dance pop"/>
    <x v="8"/>
    <n v="0.63"/>
    <n v="274"/>
    <n v="0.8"/>
    <x v="62"/>
    <n v="69"/>
    <x v="1"/>
  </r>
  <r>
    <s v="Monster"/>
    <s v="Kanye West"/>
    <s v="chicago rap"/>
    <x v="9"/>
    <n v="0.63"/>
    <n v="379"/>
    <n v="0.69"/>
    <x v="4"/>
    <n v="73"/>
    <x v="0"/>
  </r>
  <r>
    <s v="Good Life"/>
    <s v="OneRepublic"/>
    <s v="dance pop"/>
    <x v="9"/>
    <n v="0.63"/>
    <n v="253"/>
    <n v="0.69"/>
    <x v="5"/>
    <n v="72"/>
    <x v="1"/>
  </r>
  <r>
    <s v="We Are Never Ever Getting Back Together"/>
    <s v="Taylor Swift"/>
    <s v="pop"/>
    <x v="6"/>
    <n v="0.63"/>
    <n v="193"/>
    <n v="0.68"/>
    <x v="47"/>
    <n v="75"/>
    <x v="1"/>
  </r>
  <r>
    <s v="What About Love"/>
    <s v="Austin Mahone"/>
    <s v="dance pop"/>
    <x v="7"/>
    <n v="0.63"/>
    <n v="203"/>
    <n v="0.78"/>
    <x v="8"/>
    <n v="54"/>
    <x v="0"/>
  </r>
  <r>
    <s v="Work Bitch"/>
    <s v="Britney Spears"/>
    <s v="dance pop"/>
    <x v="7"/>
    <n v="0.63"/>
    <n v="248"/>
    <n v="0.82"/>
    <x v="22"/>
    <n v="71"/>
    <x v="0"/>
  </r>
  <r>
    <s v="Can't Hold Us (feat. Ray Dalton)"/>
    <s v="Macklemore &amp; Ryan Lewis"/>
    <s v="dance pop"/>
    <x v="7"/>
    <n v="0.63"/>
    <n v="258"/>
    <n v="0.93"/>
    <x v="69"/>
    <n v="70"/>
    <x v="0"/>
  </r>
  <r>
    <s v="Kiss You"/>
    <s v="One Direction"/>
    <s v="boy band"/>
    <x v="7"/>
    <n v="0.63"/>
    <n v="183"/>
    <n v="0.93"/>
    <x v="21"/>
    <n v="73"/>
    <x v="1"/>
  </r>
  <r>
    <s v="We Are Never Ever Getting Back Together"/>
    <s v="Taylor Swift"/>
    <s v="pop"/>
    <x v="7"/>
    <n v="0.63"/>
    <n v="193"/>
    <n v="0.68"/>
    <x v="47"/>
    <n v="75"/>
    <x v="1"/>
  </r>
  <r>
    <s v="You're Mine (Eternal)"/>
    <s v="Mariah Carey"/>
    <s v="dance pop"/>
    <x v="1"/>
    <n v="0.63"/>
    <n v="224"/>
    <n v="0.57999999999999996"/>
    <x v="70"/>
    <n v="38"/>
    <x v="0"/>
  </r>
  <r>
    <s v="Broken Arrows"/>
    <s v="Avicii"/>
    <s v="big room"/>
    <x v="4"/>
    <n v="0.63"/>
    <n v="233"/>
    <n v="0.67"/>
    <x v="9"/>
    <n v="65"/>
    <x v="0"/>
  </r>
  <r>
    <s v="Genie In a Bottle"/>
    <s v="Christina Aguilera"/>
    <s v="dance pop"/>
    <x v="4"/>
    <n v="0.63"/>
    <n v="218"/>
    <n v="0.8"/>
    <x v="71"/>
    <n v="72"/>
    <x v="0"/>
  </r>
  <r>
    <s v="Trumpets"/>
    <s v="Jason Derulo"/>
    <s v="dance pop"/>
    <x v="4"/>
    <n v="0.63"/>
    <n v="217"/>
    <n v="0.7"/>
    <x v="53"/>
    <n v="69"/>
    <x v="1"/>
  </r>
  <r>
    <s v="This Is What You Came For"/>
    <s v="Calvin Harris"/>
    <s v="dance pop"/>
    <x v="2"/>
    <n v="0.63"/>
    <n v="222"/>
    <n v="0.93"/>
    <x v="3"/>
    <n v="80"/>
    <x v="0"/>
  </r>
  <r>
    <s v="Body Say"/>
    <s v="Demi Lovato"/>
    <s v="dance pop"/>
    <x v="2"/>
    <n v="0.63"/>
    <n v="194"/>
    <n v="0.74"/>
    <x v="42"/>
    <n v="65"/>
    <x v="1"/>
  </r>
  <r>
    <s v="Blown"/>
    <s v="DNCE"/>
    <s v="dance pop"/>
    <x v="2"/>
    <n v="0.63"/>
    <n v="197"/>
    <n v="0.95"/>
    <x v="0"/>
    <n v="48"/>
    <x v="0"/>
  </r>
  <r>
    <s v="Like I'm Gonna Lose You (feat. John Legend)"/>
    <s v="Meghan Trainor"/>
    <s v="dance pop"/>
    <x v="2"/>
    <n v="0.63"/>
    <n v="225"/>
    <n v="0.53"/>
    <x v="44"/>
    <n v="79"/>
    <x v="0"/>
  </r>
  <r>
    <s v="Just Like Fire (From the Original Motion Picture &quot;Alice Through The Looking Glass&quot;)"/>
    <s v="P!nk"/>
    <s v="dance pop"/>
    <x v="2"/>
    <n v="0.63"/>
    <n v="215"/>
    <n v="0.7"/>
    <x v="72"/>
    <n v="71"/>
    <x v="0"/>
  </r>
  <r>
    <s v="First Time"/>
    <s v="Kygo"/>
    <s v="edm"/>
    <x v="3"/>
    <n v="0.63"/>
    <n v="194"/>
    <n v="0.59"/>
    <x v="21"/>
    <n v="71"/>
    <x v="1"/>
  </r>
  <r>
    <s v="Never Be the Same - Radio Edit"/>
    <s v="Camila Cabello"/>
    <s v="dance pop"/>
    <x v="0"/>
    <n v="0.63"/>
    <n v="227"/>
    <n v="0.69"/>
    <x v="0"/>
    <n v="57"/>
    <x v="0"/>
  </r>
  <r>
    <s v="What I Need (feat. Kehlani)"/>
    <s v="Hayley Kiyoko"/>
    <s v="dance pop"/>
    <x v="0"/>
    <n v="0.63"/>
    <n v="220"/>
    <n v="0.79"/>
    <x v="46"/>
    <n v="67"/>
    <x v="0"/>
  </r>
  <r>
    <s v="First Time"/>
    <s v="Kygo"/>
    <s v="edm"/>
    <x v="0"/>
    <n v="0.63"/>
    <n v="194"/>
    <n v="0.59"/>
    <x v="21"/>
    <n v="71"/>
    <x v="1"/>
  </r>
  <r>
    <s v="Anywhere"/>
    <s v="Rita Ora"/>
    <s v="dance pop"/>
    <x v="0"/>
    <n v="0.63"/>
    <n v="215"/>
    <n v="0.8"/>
    <x v="23"/>
    <n v="74"/>
    <x v="0"/>
  </r>
  <r>
    <s v="Marry You"/>
    <s v="Bruno Mars"/>
    <s v="pop"/>
    <x v="8"/>
    <n v="0.62"/>
    <n v="230"/>
    <n v="0.83"/>
    <x v="73"/>
    <n v="73"/>
    <x v="0"/>
  </r>
  <r>
    <s v="Club Can't Handle Me (feat. David Guetta)"/>
    <s v="Flo Rida"/>
    <s v="dance pop"/>
    <x v="8"/>
    <n v="0.62"/>
    <n v="235"/>
    <n v="0.87"/>
    <x v="22"/>
    <n v="73"/>
    <x v="0"/>
  </r>
  <r>
    <s v="Marry You"/>
    <s v="Bruno Mars"/>
    <s v="pop"/>
    <x v="9"/>
    <n v="0.62"/>
    <n v="230"/>
    <n v="0.83"/>
    <x v="73"/>
    <n v="73"/>
    <x v="0"/>
  </r>
  <r>
    <s v="E.T."/>
    <s v="Katy Perry"/>
    <s v="dance pop"/>
    <x v="9"/>
    <n v="0.62"/>
    <n v="230"/>
    <n v="0.87"/>
    <x v="51"/>
    <n v="66"/>
    <x v="0"/>
  </r>
  <r>
    <s v="I Knew You Were Trouble."/>
    <s v="Taylor Swift"/>
    <s v="pop"/>
    <x v="6"/>
    <n v="0.62"/>
    <n v="220"/>
    <n v="0.47"/>
    <x v="74"/>
    <n v="77"/>
    <x v="1"/>
  </r>
  <r>
    <s v="Finally Found You"/>
    <s v="Enrique Iglesias"/>
    <s v="dance pop"/>
    <x v="7"/>
    <n v="0.62"/>
    <n v="221"/>
    <n v="0.88"/>
    <x v="22"/>
    <n v="52"/>
    <x v="0"/>
  </r>
  <r>
    <s v="G.U.Y."/>
    <s v="Lady Gaga"/>
    <s v="dance pop"/>
    <x v="1"/>
    <n v="0.62"/>
    <n v="233"/>
    <n v="0.92"/>
    <x v="19"/>
    <n v="65"/>
    <x v="0"/>
  </r>
  <r>
    <s v="I Really Like You"/>
    <s v="Carly Rae Jepsen"/>
    <s v="canadian pop"/>
    <x v="4"/>
    <n v="0.62"/>
    <n v="205"/>
    <n v="0.81"/>
    <x v="11"/>
    <n v="66"/>
    <x v="0"/>
  </r>
  <r>
    <s v="Legendary Lovers"/>
    <s v="Katy Perry"/>
    <s v="dance pop"/>
    <x v="4"/>
    <n v="0.62"/>
    <n v="224"/>
    <n v="0.84"/>
    <x v="30"/>
    <n v="41"/>
    <x v="0"/>
  </r>
  <r>
    <s v="The Heart Wants What It Wants"/>
    <s v="Selena Gomez"/>
    <s v="dance pop"/>
    <x v="4"/>
    <n v="0.62"/>
    <n v="227"/>
    <n v="0.79"/>
    <x v="75"/>
    <n v="72"/>
    <x v="1"/>
  </r>
  <r>
    <s v="Into You"/>
    <s v="Ariana Grande"/>
    <s v="dance pop"/>
    <x v="2"/>
    <n v="0.62"/>
    <n v="244"/>
    <n v="0.73"/>
    <x v="44"/>
    <n v="80"/>
    <x v="0"/>
  </r>
  <r>
    <s v="Change"/>
    <s v="Christina Aguilera"/>
    <s v="dance pop"/>
    <x v="2"/>
    <n v="0.62"/>
    <n v="187"/>
    <n v="0.54"/>
    <x v="53"/>
    <n v="54"/>
    <x v="1"/>
  </r>
  <r>
    <s v="In My Blood"/>
    <s v="Shawn Mendes"/>
    <s v="canadian pop"/>
    <x v="0"/>
    <n v="0.62"/>
    <n v="211"/>
    <n v="0.71"/>
    <x v="39"/>
    <n v="83"/>
    <x v="0"/>
  </r>
  <r>
    <s v="Trampoline (with ZAYN)"/>
    <s v="SHAED"/>
    <s v="electropop"/>
    <x v="5"/>
    <n v="0.62"/>
    <n v="184"/>
    <n v="0.46"/>
    <x v="35"/>
    <n v="92"/>
    <x v="0"/>
  </r>
  <r>
    <s v="Naturally"/>
    <s v="Selena Gomez &amp; The Scene"/>
    <s v="dance pop"/>
    <x v="8"/>
    <n v="0.61"/>
    <n v="203"/>
    <n v="0.9"/>
    <x v="64"/>
    <n v="64"/>
    <x v="0"/>
  </r>
  <r>
    <s v="Without You (feat. Usher)"/>
    <s v="David Guetta"/>
    <s v="dance pop"/>
    <x v="9"/>
    <n v="0.61"/>
    <n v="208"/>
    <n v="0.61"/>
    <x v="22"/>
    <n v="68"/>
    <x v="0"/>
  </r>
  <r>
    <s v="Marry The Night"/>
    <s v="Lady Gaga"/>
    <s v="dance pop"/>
    <x v="9"/>
    <n v="0.61"/>
    <n v="265"/>
    <n v="0.88"/>
    <x v="63"/>
    <n v="61"/>
    <x v="0"/>
  </r>
  <r>
    <s v="Set Fire to the Rain"/>
    <s v="Adele"/>
    <s v="british soul"/>
    <x v="6"/>
    <n v="0.61"/>
    <n v="242"/>
    <n v="0.68"/>
    <x v="44"/>
    <n v="76"/>
    <x v="0"/>
  </r>
  <r>
    <s v="TKO"/>
    <s v="Justin Timberlake"/>
    <s v="dance pop"/>
    <x v="7"/>
    <n v="0.61"/>
    <n v="424"/>
    <n v="0.68"/>
    <x v="18"/>
    <n v="58"/>
    <x v="0"/>
  </r>
  <r>
    <s v="We Can't Stop"/>
    <s v="Miley Cyrus"/>
    <s v="dance pop"/>
    <x v="7"/>
    <n v="0.61"/>
    <n v="231"/>
    <n v="0.62"/>
    <x v="57"/>
    <n v="78"/>
    <x v="1"/>
  </r>
  <r>
    <s v="Don't You Worry Child - Radio Edit"/>
    <s v="Swedish House Mafia"/>
    <s v="big room"/>
    <x v="7"/>
    <n v="0.61"/>
    <n v="213"/>
    <n v="0.84"/>
    <x v="49"/>
    <n v="78"/>
    <x v="0"/>
  </r>
  <r>
    <s v="Love Yourself"/>
    <s v="Justin Bieber"/>
    <s v="canadian pop"/>
    <x v="4"/>
    <n v="0.61"/>
    <n v="234"/>
    <n v="0.38"/>
    <x v="8"/>
    <n v="83"/>
    <x v="0"/>
  </r>
  <r>
    <s v="Electric Love"/>
    <s v="B0NS"/>
    <s v="electropop"/>
    <x v="2"/>
    <n v="0.61"/>
    <n v="218"/>
    <n v="0.8"/>
    <x v="2"/>
    <n v="76"/>
    <x v="0"/>
  </r>
  <r>
    <s v="I Got You"/>
    <s v="Bebe Rexha"/>
    <s v="dance pop"/>
    <x v="2"/>
    <n v="0.61"/>
    <n v="192"/>
    <n v="0.89"/>
    <x v="14"/>
    <n v="64"/>
    <x v="1"/>
  </r>
  <r>
    <s v="Love Yourself"/>
    <s v="Justin Bieber"/>
    <s v="canadian pop"/>
    <x v="2"/>
    <n v="0.61"/>
    <n v="234"/>
    <n v="0.38"/>
    <x v="8"/>
    <n v="83"/>
    <x v="0"/>
  </r>
  <r>
    <s v="Perfect Illusion"/>
    <s v="Lady Gaga"/>
    <s v="dance pop"/>
    <x v="2"/>
    <n v="0.61"/>
    <n v="182"/>
    <n v="0.86"/>
    <x v="4"/>
    <n v="67"/>
    <x v="0"/>
  </r>
  <r>
    <s v="Cold Water (feat. Justin Bieber &amp; M?"/>
    <s v="Major Lazer"/>
    <s v="dance pop"/>
    <x v="2"/>
    <n v="0.61"/>
    <n v="185"/>
    <n v="0.8"/>
    <x v="38"/>
    <n v="73"/>
    <x v="1"/>
  </r>
  <r>
    <s v="I'm the One (feat. Justin Bieber, Quavo, Chance the Rapper &amp; Lil Wayne)"/>
    <s v="DJ Khaled"/>
    <s v="dance pop"/>
    <x v="3"/>
    <n v="0.61"/>
    <n v="289"/>
    <n v="0.67"/>
    <x v="76"/>
    <n v="77"/>
    <x v="1"/>
  </r>
  <r>
    <s v="There for You"/>
    <s v="Martin Garrix"/>
    <s v="big room"/>
    <x v="3"/>
    <n v="0.61"/>
    <n v="222"/>
    <n v="0.64"/>
    <x v="10"/>
    <n v="76"/>
    <x v="0"/>
  </r>
  <r>
    <s v="Something Just Like This"/>
    <s v="The Chainsmokers"/>
    <s v="electropop"/>
    <x v="3"/>
    <n v="0.61"/>
    <n v="248"/>
    <n v="0.65"/>
    <x v="24"/>
    <n v="78"/>
    <x v="0"/>
  </r>
  <r>
    <s v="Find U Again (feat. Camila Cabello)"/>
    <s v="Mark Ronson"/>
    <s v="dance pop"/>
    <x v="5"/>
    <n v="0.61"/>
    <n v="176"/>
    <n v="0.66"/>
    <x v="46"/>
    <n v="75"/>
    <x v="0"/>
  </r>
  <r>
    <s v="Imma Be"/>
    <s v="The Black Eyed Peas"/>
    <s v="dance pop"/>
    <x v="8"/>
    <n v="0.6"/>
    <n v="258"/>
    <n v="0.52"/>
    <x v="50"/>
    <n v="62"/>
    <x v="1"/>
  </r>
  <r>
    <s v="Titanium (feat. Sia)"/>
    <s v="David Guetta"/>
    <s v="dance pop"/>
    <x v="6"/>
    <n v="0.6"/>
    <n v="245"/>
    <n v="0.79"/>
    <x v="30"/>
    <n v="80"/>
    <x v="0"/>
  </r>
  <r>
    <s v="Beauty And A Beat"/>
    <s v="Justin Bieber"/>
    <s v="canadian pop"/>
    <x v="6"/>
    <n v="0.6"/>
    <n v="228"/>
    <n v="0.84"/>
    <x v="22"/>
    <n v="72"/>
    <x v="0"/>
  </r>
  <r>
    <s v="Blow Me (One Last Kiss)"/>
    <s v="P!nk"/>
    <s v="dance pop"/>
    <x v="6"/>
    <n v="0.6"/>
    <n v="256"/>
    <n v="0.92"/>
    <x v="33"/>
    <n v="0"/>
    <x v="0"/>
  </r>
  <r>
    <s v="People Like Us"/>
    <s v="Kelly Clarkson"/>
    <s v="dance pop"/>
    <x v="7"/>
    <n v="0.6"/>
    <n v="259"/>
    <n v="0.79"/>
    <x v="22"/>
    <n v="45"/>
    <x v="0"/>
  </r>
  <r>
    <s v="Story of My Life"/>
    <s v="One Direction"/>
    <s v="boy band"/>
    <x v="7"/>
    <n v="0.6"/>
    <n v="245"/>
    <n v="0.66"/>
    <x v="1"/>
    <n v="81"/>
    <x v="0"/>
  </r>
  <r>
    <s v="Summer"/>
    <s v="Calvin Harris"/>
    <s v="dance pop"/>
    <x v="1"/>
    <n v="0.6"/>
    <n v="223"/>
    <n v="0.86"/>
    <x v="22"/>
    <n v="80"/>
    <x v="0"/>
  </r>
  <r>
    <s v="We Are One (Ole Ola) [The Official 2014 FIFA World Cup Song]"/>
    <s v="Pitbull"/>
    <s v="dance pop"/>
    <x v="1"/>
    <n v="0.6"/>
    <n v="222"/>
    <n v="0.94"/>
    <x v="4"/>
    <n v="56"/>
    <x v="0"/>
  </r>
  <r>
    <s v="Stay The Night - Featuring Hayley Williams Of Paramore"/>
    <s v="Zedd"/>
    <s v="complextro"/>
    <x v="1"/>
    <n v="0.6"/>
    <n v="217"/>
    <n v="0.74"/>
    <x v="22"/>
    <n v="64"/>
    <x v="0"/>
  </r>
  <r>
    <s v="Hey Mama (feat. Nicki Minaj, Bebe Rexha &amp; Afrojack)"/>
    <s v="David Guetta"/>
    <s v="dance pop"/>
    <x v="4"/>
    <n v="0.6"/>
    <n v="193"/>
    <n v="0.73"/>
    <x v="47"/>
    <n v="72"/>
    <x v="1"/>
  </r>
  <r>
    <s v="Bang My Head (feat. Sia &amp; Fetty Wap)"/>
    <s v="David Guetta"/>
    <s v="dance pop"/>
    <x v="4"/>
    <n v="0.6"/>
    <n v="193"/>
    <n v="0.87"/>
    <x v="44"/>
    <n v="54"/>
    <x v="0"/>
  </r>
  <r>
    <s v="Keeping Your Head Up"/>
    <s v="Birdy"/>
    <s v="neo mellow"/>
    <x v="2"/>
    <n v="0.6"/>
    <n v="208"/>
    <n v="0.78"/>
    <x v="11"/>
    <n v="52"/>
    <x v="0"/>
  </r>
  <r>
    <s v="Cruel (feat. ZAYN)"/>
    <s v="Snakehips"/>
    <s v="dance pop"/>
    <x v="2"/>
    <n v="0.6"/>
    <n v="228"/>
    <n v="0.88"/>
    <x v="19"/>
    <n v="63"/>
    <x v="0"/>
  </r>
  <r>
    <s v="Water Under the Bridge"/>
    <s v="Adele"/>
    <s v="british soul"/>
    <x v="3"/>
    <n v="0.6"/>
    <n v="240"/>
    <n v="0.84"/>
    <x v="5"/>
    <n v="49"/>
    <x v="1"/>
  </r>
  <r>
    <s v="Nothing Breaks Like a Heart (feat. Miley Cyrus)"/>
    <s v="Mark Ronson"/>
    <s v="dance pop"/>
    <x v="5"/>
    <n v="0.6"/>
    <n v="217"/>
    <n v="0.79"/>
    <x v="33"/>
    <n v="69"/>
    <x v="0"/>
  </r>
  <r>
    <s v="I'm Into You"/>
    <s v="Jennifer Lopez"/>
    <s v="dance pop"/>
    <x v="9"/>
    <n v="0.59"/>
    <n v="200"/>
    <n v="0.75"/>
    <x v="77"/>
    <n v="59"/>
    <x v="1"/>
  </r>
  <r>
    <s v="Born This Way"/>
    <s v="Lady Gaga"/>
    <s v="dance pop"/>
    <x v="9"/>
    <n v="0.59"/>
    <n v="260"/>
    <n v="0.83"/>
    <x v="3"/>
    <n v="73"/>
    <x v="0"/>
  </r>
  <r>
    <s v="Turn Up the Music"/>
    <s v="Chris Brown"/>
    <s v="dance pop"/>
    <x v="6"/>
    <n v="0.59"/>
    <n v="228"/>
    <n v="0.84"/>
    <x v="0"/>
    <n v="65"/>
    <x v="0"/>
  </r>
  <r>
    <s v="Take Back the Night"/>
    <s v="Justin Timberlake"/>
    <s v="dance pop"/>
    <x v="7"/>
    <n v="0.59"/>
    <n v="353"/>
    <n v="0.66"/>
    <x v="23"/>
    <n v="54"/>
    <x v="0"/>
  </r>
  <r>
    <s v="Drunk in Love"/>
    <s v="Beyonce"/>
    <s v="dance pop"/>
    <x v="1"/>
    <n v="0.59"/>
    <n v="323"/>
    <n v="0.62"/>
    <x v="39"/>
    <n v="52"/>
    <x v="0"/>
  </r>
  <r>
    <s v="Not a Bad Thing"/>
    <s v="Justin Timberlake"/>
    <s v="dance pop"/>
    <x v="1"/>
    <n v="0.59"/>
    <n v="266"/>
    <n v="0.73"/>
    <x v="47"/>
    <n v="0"/>
    <x v="1"/>
  </r>
  <r>
    <s v="Company"/>
    <s v="Justin Bieber"/>
    <s v="canadian pop"/>
    <x v="4"/>
    <n v="0.59"/>
    <n v="208"/>
    <n v="0.8"/>
    <x v="5"/>
    <n v="72"/>
    <x v="1"/>
  </r>
  <r>
    <s v="I Lived"/>
    <s v="OneRepublic"/>
    <s v="dance pop"/>
    <x v="4"/>
    <n v="0.59"/>
    <n v="235"/>
    <n v="0.85"/>
    <x v="2"/>
    <n v="67"/>
    <x v="0"/>
  </r>
  <r>
    <s v="All I Ask"/>
    <s v="Adele"/>
    <s v="british soul"/>
    <x v="2"/>
    <n v="0.59"/>
    <n v="272"/>
    <n v="0.28000000000000003"/>
    <x v="78"/>
    <n v="71"/>
    <x v="0"/>
  </r>
  <r>
    <s v="Confident"/>
    <s v="Demi Lovato"/>
    <s v="dance pop"/>
    <x v="2"/>
    <n v="0.59"/>
    <n v="206"/>
    <n v="0.75"/>
    <x v="0"/>
    <n v="75"/>
    <x v="0"/>
  </r>
  <r>
    <s v="Company"/>
    <s v="Justin Bieber"/>
    <s v="canadian pop"/>
    <x v="2"/>
    <n v="0.59"/>
    <n v="208"/>
    <n v="0.8"/>
    <x v="5"/>
    <n v="72"/>
    <x v="1"/>
  </r>
  <r>
    <s v="Cheap Thrills"/>
    <s v="Sia"/>
    <s v="australian dance"/>
    <x v="2"/>
    <n v="0.59"/>
    <n v="225"/>
    <n v="0.8"/>
    <x v="21"/>
    <n v="64"/>
    <x v="1"/>
  </r>
  <r>
    <s v="PILLOWTALK"/>
    <s v="ZAYN"/>
    <s v="dance pop"/>
    <x v="2"/>
    <n v="0.59"/>
    <n v="204"/>
    <n v="0.7"/>
    <x v="4"/>
    <n v="66"/>
    <x v="0"/>
  </r>
  <r>
    <s v="All I Ask"/>
    <s v="Adele"/>
    <s v="british soul"/>
    <x v="3"/>
    <n v="0.59"/>
    <n v="272"/>
    <n v="0.28000000000000003"/>
    <x v="78"/>
    <n v="71"/>
    <x v="0"/>
  </r>
  <r>
    <s v="Perfect Duet (Ed Sheeran &amp; Beyonc?"/>
    <s v="Ed Sheeran"/>
    <s v="pop"/>
    <x v="0"/>
    <n v="0.59"/>
    <n v="260"/>
    <n v="0.3"/>
    <x v="5"/>
    <n v="78"/>
    <x v="1"/>
  </r>
  <r>
    <s v="Him &amp; I (with Halsey)"/>
    <s v="G-Eazy"/>
    <s v="hip hop"/>
    <x v="0"/>
    <n v="0.59"/>
    <n v="269"/>
    <n v="0.73"/>
    <x v="79"/>
    <n v="78"/>
    <x v="1"/>
  </r>
  <r>
    <s v="Electricity (with Dua Lipa)"/>
    <s v="Silk City"/>
    <s v="edm"/>
    <x v="0"/>
    <n v="0.59"/>
    <n v="238"/>
    <n v="0.67"/>
    <x v="31"/>
    <n v="82"/>
    <x v="0"/>
  </r>
  <r>
    <s v="Call You Mine"/>
    <s v="The Chainsmokers"/>
    <s v="electropop"/>
    <x v="5"/>
    <n v="0.59"/>
    <n v="218"/>
    <n v="0.7"/>
    <x v="46"/>
    <n v="81"/>
    <x v="0"/>
  </r>
  <r>
    <s v="What the Hell"/>
    <s v="Avril Lavigne"/>
    <s v="canadian pop"/>
    <x v="9"/>
    <n v="0.57999999999999996"/>
    <n v="221"/>
    <n v="0.93"/>
    <x v="43"/>
    <n v="74"/>
    <x v="0"/>
  </r>
  <r>
    <s v="The Edge Of Glory"/>
    <s v="Lady Gaga"/>
    <s v="dance pop"/>
    <x v="9"/>
    <n v="0.57999999999999996"/>
    <n v="321"/>
    <n v="0.77"/>
    <x v="22"/>
    <n v="67"/>
    <x v="0"/>
  </r>
  <r>
    <s v="Cheers (Drink To That)"/>
    <s v="Rihanna"/>
    <s v="barbadian pop"/>
    <x v="9"/>
    <n v="0.57999999999999996"/>
    <n v="262"/>
    <n v="0.91"/>
    <x v="57"/>
    <n v="58"/>
    <x v="1"/>
  </r>
  <r>
    <s v="It Will Rain"/>
    <s v="Bruno Mars"/>
    <s v="pop"/>
    <x v="6"/>
    <n v="0.57999999999999996"/>
    <n v="258"/>
    <n v="0.84"/>
    <x v="43"/>
    <n v="38"/>
    <x v="0"/>
  </r>
  <r>
    <s v="Made In The USA"/>
    <s v="Demi Lovato"/>
    <s v="dance pop"/>
    <x v="7"/>
    <n v="0.57999999999999996"/>
    <n v="196"/>
    <n v="0.86"/>
    <x v="42"/>
    <n v="60"/>
    <x v="1"/>
  </r>
  <r>
    <s v="Mirrors - Radio Edit"/>
    <s v="Justin Timberlake"/>
    <s v="dance pop"/>
    <x v="7"/>
    <n v="0.57999999999999996"/>
    <n v="277"/>
    <n v="0.6"/>
    <x v="74"/>
    <n v="60"/>
    <x v="1"/>
  </r>
  <r>
    <s v="Adore You"/>
    <s v="Miley Cyrus"/>
    <s v="dance pop"/>
    <x v="1"/>
    <n v="0.57999999999999996"/>
    <n v="279"/>
    <n v="0.66"/>
    <x v="2"/>
    <n v="72"/>
    <x v="0"/>
  </r>
  <r>
    <s v="FourFiveSeconds"/>
    <s v="Rihanna"/>
    <s v="barbadian pop"/>
    <x v="4"/>
    <n v="0.57999999999999996"/>
    <n v="188"/>
    <n v="0.27"/>
    <x v="80"/>
    <n v="80"/>
    <x v="0"/>
  </r>
  <r>
    <s v="The Hills"/>
    <s v="The Weeknd"/>
    <s v="canadian contemporary r&amp;b"/>
    <x v="4"/>
    <n v="0.57999999999999996"/>
    <n v="242"/>
    <n v="0.56000000000000005"/>
    <x v="45"/>
    <n v="84"/>
    <x v="0"/>
  </r>
  <r>
    <s v="Never Forget You"/>
    <s v="Zara Larsson"/>
    <s v="dance pop"/>
    <x v="4"/>
    <n v="0.57999999999999996"/>
    <n v="213"/>
    <n v="0.73"/>
    <x v="69"/>
    <n v="77"/>
    <x v="0"/>
  </r>
  <r>
    <s v="I Want You To Know"/>
    <s v="Zedd"/>
    <s v="complextro"/>
    <x v="4"/>
    <n v="0.57999999999999996"/>
    <n v="240"/>
    <n v="0.85"/>
    <x v="0"/>
    <n v="68"/>
    <x v="0"/>
  </r>
  <r>
    <s v="Hurts"/>
    <s v="Emeli Sande"/>
    <s v="dance pop"/>
    <x v="2"/>
    <n v="0.57999999999999996"/>
    <n v="238"/>
    <n v="0.64"/>
    <x v="10"/>
    <n v="57"/>
    <x v="0"/>
  </r>
  <r>
    <s v="The Hills"/>
    <s v="The Weeknd"/>
    <s v="canadian contemporary r&amp;b"/>
    <x v="2"/>
    <n v="0.57999999999999996"/>
    <n v="242"/>
    <n v="0.56000000000000005"/>
    <x v="45"/>
    <n v="84"/>
    <x v="0"/>
  </r>
  <r>
    <s v="Praying"/>
    <s v="Kesha"/>
    <s v="dance pop"/>
    <x v="3"/>
    <n v="0.57999999999999996"/>
    <n v="230"/>
    <n v="0.39"/>
    <x v="81"/>
    <n v="77"/>
    <x v="1"/>
  </r>
  <r>
    <s v="Ferrari"/>
    <s v="Bebe Rexha"/>
    <s v="dance pop"/>
    <x v="0"/>
    <n v="0.57999999999999996"/>
    <n v="213"/>
    <n v="0.48"/>
    <x v="74"/>
    <n v="57"/>
    <x v="1"/>
  </r>
  <r>
    <s v="Tell Me You Love Me - NOTD Remix"/>
    <s v="Demi Lovato"/>
    <s v="dance pop"/>
    <x v="0"/>
    <n v="0.57999999999999996"/>
    <n v="182"/>
    <n v="0.77"/>
    <x v="27"/>
    <n v="44"/>
    <x v="0"/>
  </r>
  <r>
    <s v="...Ready For It? - BloodPop?Remix"/>
    <s v="Taylor Swift"/>
    <s v="pop"/>
    <x v="0"/>
    <n v="0.57999999999999996"/>
    <n v="190"/>
    <n v="0.84"/>
    <x v="65"/>
    <n v="52"/>
    <x v="0"/>
  </r>
  <r>
    <s v="Sweet Nothing (feat. Florence Welch)"/>
    <s v="Calvin Harris"/>
    <s v="dance pop"/>
    <x v="7"/>
    <n v="0.56999999999999995"/>
    <n v="213"/>
    <n v="0.93"/>
    <x v="22"/>
    <n v="72"/>
    <x v="0"/>
  </r>
  <r>
    <s v="Summertime Sadness (Lana Del Rey Vs. Cedric Gervais) - Cedric Gervais Remix"/>
    <s v="Lana Del Rey"/>
    <s v="art pop"/>
    <x v="7"/>
    <n v="0.56999999999999995"/>
    <n v="215"/>
    <n v="0.81"/>
    <x v="30"/>
    <n v="74"/>
    <x v="0"/>
  </r>
  <r>
    <s v="Yesterday (feat. Bebe Rexha)"/>
    <s v="David Guetta"/>
    <s v="dance pop"/>
    <x v="4"/>
    <n v="0.56999999999999995"/>
    <n v="243"/>
    <n v="0.78"/>
    <x v="22"/>
    <n v="46"/>
    <x v="0"/>
  </r>
  <r>
    <s v="Take Me To Church"/>
    <s v="Hozier"/>
    <s v="irish singer-songwriter"/>
    <x v="4"/>
    <n v="0.56999999999999995"/>
    <n v="242"/>
    <n v="0.66"/>
    <x v="49"/>
    <n v="81"/>
    <x v="0"/>
  </r>
  <r>
    <s v="Don't Be so Hard on Yourself"/>
    <s v="Jess Glynne"/>
    <s v="dance pop"/>
    <x v="4"/>
    <n v="0.56999999999999995"/>
    <n v="211"/>
    <n v="0.82"/>
    <x v="2"/>
    <n v="52"/>
    <x v="0"/>
  </r>
  <r>
    <s v="Only Love Can Hurt Like This"/>
    <s v="Paloma Faith"/>
    <s v="british soul"/>
    <x v="4"/>
    <n v="0.56999999999999995"/>
    <n v="233"/>
    <n v="0.89"/>
    <x v="41"/>
    <n v="69"/>
    <x v="1"/>
  </r>
  <r>
    <s v="Scars To Your Beautiful"/>
    <s v="Alessia Cara"/>
    <s v="canadian contemporary r&amp;b"/>
    <x v="2"/>
    <n v="0.56999999999999995"/>
    <n v="230"/>
    <n v="0.74"/>
    <x v="16"/>
    <n v="79"/>
    <x v="1"/>
  </r>
  <r>
    <s v="Little Lies"/>
    <s v="Hilary Duff"/>
    <s v="dance pop"/>
    <x v="2"/>
    <n v="0.56999999999999995"/>
    <n v="204"/>
    <n v="0.76"/>
    <x v="3"/>
    <n v="36"/>
    <x v="0"/>
  </r>
  <r>
    <s v="True Colors"/>
    <s v="Zedd"/>
    <s v="complextro"/>
    <x v="2"/>
    <n v="0.56999999999999995"/>
    <n v="225"/>
    <n v="0.79"/>
    <x v="30"/>
    <n v="51"/>
    <x v="0"/>
  </r>
  <r>
    <s v="Malibu"/>
    <s v="Miley Cyrus"/>
    <s v="dance pop"/>
    <x v="3"/>
    <n v="0.56999999999999995"/>
    <n v="232"/>
    <n v="0.78"/>
    <x v="39"/>
    <n v="78"/>
    <x v="0"/>
  </r>
  <r>
    <s v="Messin' Around"/>
    <s v="Pitbull"/>
    <s v="dance pop"/>
    <x v="3"/>
    <n v="0.56999999999999995"/>
    <n v="223"/>
    <n v="0.81"/>
    <x v="52"/>
    <n v="51"/>
    <x v="0"/>
  </r>
  <r>
    <s v="Want To"/>
    <s v="Dua Lipa"/>
    <s v="dance pop"/>
    <x v="0"/>
    <n v="0.56999999999999995"/>
    <n v="212"/>
    <n v="0.69"/>
    <x v="50"/>
    <n v="67"/>
    <x v="1"/>
  </r>
  <r>
    <s v="Shallow - Radio Edit"/>
    <s v="Lady Gaga"/>
    <s v="dance pop"/>
    <x v="0"/>
    <n v="0.56999999999999995"/>
    <n v="217"/>
    <n v="0.33"/>
    <x v="17"/>
    <n v="80"/>
    <x v="1"/>
  </r>
  <r>
    <s v="Someone Like You"/>
    <s v="Adele"/>
    <s v="british soul"/>
    <x v="9"/>
    <n v="0.56000000000000005"/>
    <n v="285"/>
    <n v="0.33"/>
    <x v="40"/>
    <n v="80"/>
    <x v="0"/>
  </r>
  <r>
    <s v="Stronger (What Doesn't Kill You)"/>
    <s v="Kelly Clarkson"/>
    <s v="dance pop"/>
    <x v="6"/>
    <n v="0.56000000000000005"/>
    <n v="222"/>
    <n v="0.94"/>
    <x v="9"/>
    <n v="74"/>
    <x v="0"/>
  </r>
  <r>
    <s v="Good Time"/>
    <s v="Owl City"/>
    <s v="pop"/>
    <x v="6"/>
    <n v="0.56000000000000005"/>
    <n v="206"/>
    <n v="0.87"/>
    <x v="30"/>
    <n v="73"/>
    <x v="0"/>
  </r>
  <r>
    <s v="Diamonds"/>
    <s v="Rihanna"/>
    <s v="barbadian pop"/>
    <x v="6"/>
    <n v="0.56000000000000005"/>
    <n v="225"/>
    <n v="0.71"/>
    <x v="50"/>
    <n v="61"/>
    <x v="1"/>
  </r>
  <r>
    <s v="Heartbreaker"/>
    <s v="Justin Bieber"/>
    <s v="canadian pop"/>
    <x v="7"/>
    <n v="0.56000000000000005"/>
    <n v="263"/>
    <n v="0.52"/>
    <x v="28"/>
    <n v="61"/>
    <x v="0"/>
  </r>
  <r>
    <s v="Beneath Your Beautiful"/>
    <s v="Labrinth"/>
    <s v="pop"/>
    <x v="7"/>
    <n v="0.56000000000000005"/>
    <n v="272"/>
    <n v="0.52"/>
    <x v="77"/>
    <n v="70"/>
    <x v="1"/>
  </r>
  <r>
    <s v="Walks Like Rihanna"/>
    <s v="The Wanted"/>
    <s v="boy band"/>
    <x v="7"/>
    <n v="0.56000000000000005"/>
    <n v="202"/>
    <n v="0.82"/>
    <x v="30"/>
    <n v="62"/>
    <x v="0"/>
  </r>
  <r>
    <s v="Young Girls"/>
    <s v="Bruno Mars"/>
    <s v="pop"/>
    <x v="1"/>
    <n v="0.56000000000000005"/>
    <n v="229"/>
    <n v="0.75"/>
    <x v="30"/>
    <n v="67"/>
    <x v="0"/>
  </r>
  <r>
    <s v="Burn"/>
    <s v="Ellie Goulding"/>
    <s v="dance pop"/>
    <x v="1"/>
    <n v="0.56000000000000005"/>
    <n v="231"/>
    <n v="0.78"/>
    <x v="42"/>
    <n v="71"/>
    <x v="1"/>
  </r>
  <r>
    <s v="Cannonball"/>
    <s v="Lea Michele"/>
    <s v="hollywood"/>
    <x v="1"/>
    <n v="0.56000000000000005"/>
    <n v="215"/>
    <n v="0.82"/>
    <x v="50"/>
    <n v="37"/>
    <x v="1"/>
  </r>
  <r>
    <s v="Run Away With Me"/>
    <s v="Carly Rae Jepsen"/>
    <s v="canadian pop"/>
    <x v="2"/>
    <n v="0.56000000000000005"/>
    <n v="251"/>
    <n v="0.72"/>
    <x v="37"/>
    <n v="63"/>
    <x v="0"/>
  </r>
  <r>
    <s v="NO"/>
    <s v="Meghan Trainor"/>
    <s v="dance pop"/>
    <x v="2"/>
    <n v="0.56000000000000005"/>
    <n v="214"/>
    <n v="0.8"/>
    <x v="50"/>
    <n v="70"/>
    <x v="1"/>
  </r>
  <r>
    <s v="LIKE I WOULD"/>
    <s v="ZAYN"/>
    <s v="dance pop"/>
    <x v="2"/>
    <n v="0.56000000000000005"/>
    <n v="192"/>
    <n v="0.83"/>
    <x v="45"/>
    <n v="65"/>
    <x v="0"/>
  </r>
  <r>
    <s v="Mercy"/>
    <s v="Shawn Mendes"/>
    <s v="canadian pop"/>
    <x v="3"/>
    <n v="0.56000000000000005"/>
    <n v="209"/>
    <n v="0.66"/>
    <x v="59"/>
    <n v="81"/>
    <x v="0"/>
  </r>
  <r>
    <s v="Best Thing I Never Had"/>
    <s v="Beyonce"/>
    <s v="dance pop"/>
    <x v="9"/>
    <n v="0.55000000000000004"/>
    <n v="254"/>
    <n v="0.65"/>
    <x v="62"/>
    <n v="73"/>
    <x v="1"/>
  </r>
  <r>
    <s v="Girl On Fire (feat. Nicki Minaj) - Inferno Version"/>
    <s v="Alicia Keys"/>
    <s v="hip pop"/>
    <x v="7"/>
    <n v="0.55000000000000004"/>
    <n v="271"/>
    <n v="0.81"/>
    <x v="38"/>
    <n v="59"/>
    <x v="1"/>
  </r>
  <r>
    <s v="Roar"/>
    <s v="Katy Perry"/>
    <s v="dance pop"/>
    <x v="7"/>
    <n v="0.55000000000000004"/>
    <n v="224"/>
    <n v="0.77"/>
    <x v="82"/>
    <n v="78"/>
    <x v="0"/>
  </r>
  <r>
    <s v="Brave"/>
    <s v="Sara Bareilles"/>
    <s v="acoustic pop"/>
    <x v="7"/>
    <n v="0.55000000000000004"/>
    <n v="221"/>
    <n v="0.84"/>
    <x v="83"/>
    <n v="71"/>
    <x v="0"/>
  </r>
  <r>
    <s v="Come &amp; Get It"/>
    <s v="Selena Gomez"/>
    <s v="dance pop"/>
    <x v="7"/>
    <n v="0.55000000000000004"/>
    <n v="232"/>
    <n v="0.79"/>
    <x v="57"/>
    <n v="57"/>
    <x v="1"/>
  </r>
  <r>
    <s v="We Own The Night"/>
    <s v="The Wanted"/>
    <s v="boy band"/>
    <x v="7"/>
    <n v="0.55000000000000004"/>
    <n v="206"/>
    <n v="0.94"/>
    <x v="46"/>
    <n v="56"/>
    <x v="0"/>
  </r>
  <r>
    <s v="Hey Brother"/>
    <s v="Avicii"/>
    <s v="big room"/>
    <x v="1"/>
    <n v="0.55000000000000004"/>
    <n v="255"/>
    <n v="0.78"/>
    <x v="4"/>
    <n v="78"/>
    <x v="0"/>
  </r>
  <r>
    <s v="A Sky Full of Stars"/>
    <s v="Coldplay"/>
    <s v="permanent wave"/>
    <x v="1"/>
    <n v="0.55000000000000004"/>
    <n v="268"/>
    <n v="0.68"/>
    <x v="4"/>
    <n v="60"/>
    <x v="0"/>
  </r>
  <r>
    <s v="Toothbrush"/>
    <s v="DNCE"/>
    <s v="dance pop"/>
    <x v="2"/>
    <n v="0.55000000000000004"/>
    <n v="232"/>
    <n v="0.79"/>
    <x v="28"/>
    <n v="72"/>
    <x v="0"/>
  </r>
  <r>
    <s v="Rise"/>
    <s v="Katy Perry"/>
    <s v="dance pop"/>
    <x v="2"/>
    <n v="0.55000000000000004"/>
    <n v="203"/>
    <n v="0.64"/>
    <x v="84"/>
    <n v="66"/>
    <x v="0"/>
  </r>
  <r>
    <s v="Wherever I Go"/>
    <s v="OneRepublic"/>
    <s v="dance pop"/>
    <x v="2"/>
    <n v="0.55000000000000004"/>
    <n v="170"/>
    <n v="0.69"/>
    <x v="8"/>
    <n v="66"/>
    <x v="0"/>
  </r>
  <r>
    <s v="Out Of The Woods"/>
    <s v="Taylor Swift"/>
    <s v="pop"/>
    <x v="2"/>
    <n v="0.55000000000000004"/>
    <n v="236"/>
    <n v="0.84"/>
    <x v="50"/>
    <n v="66"/>
    <x v="1"/>
  </r>
  <r>
    <s v="Younger Now"/>
    <s v="Miley Cyrus"/>
    <s v="dance pop"/>
    <x v="3"/>
    <n v="0.55000000000000004"/>
    <n v="249"/>
    <n v="0.87"/>
    <x v="11"/>
    <n v="62"/>
    <x v="0"/>
  </r>
  <r>
    <s v="Under Control"/>
    <s v="Calvin Harris"/>
    <s v="dance pop"/>
    <x v="7"/>
    <n v="0.54"/>
    <n v="184"/>
    <n v="0.92"/>
    <x v="30"/>
    <n v="74"/>
    <x v="0"/>
  </r>
  <r>
    <s v="Ghosttown"/>
    <s v="Madonna"/>
    <s v="dance pop"/>
    <x v="4"/>
    <n v="0.54"/>
    <n v="250"/>
    <n v="0.55000000000000004"/>
    <x v="32"/>
    <n v="54"/>
    <x v="1"/>
  </r>
  <r>
    <s v="For You (With Rita Ora)"/>
    <s v="Liam Payne"/>
    <s v="dance pop"/>
    <x v="0"/>
    <n v="0.54"/>
    <n v="243"/>
    <n v="0.8"/>
    <x v="45"/>
    <n v="67"/>
    <x v="0"/>
  </r>
  <r>
    <s v="All The Right Moves"/>
    <s v="OneRepublic"/>
    <s v="dance pop"/>
    <x v="8"/>
    <n v="0.53"/>
    <n v="238"/>
    <n v="0.95"/>
    <x v="69"/>
    <n v="65"/>
    <x v="0"/>
  </r>
  <r>
    <s v="Wake Me Up"/>
    <s v="Avicii"/>
    <s v="big room"/>
    <x v="7"/>
    <n v="0.53"/>
    <n v="247"/>
    <n v="0.78"/>
    <x v="3"/>
    <n v="85"/>
    <x v="0"/>
  </r>
  <r>
    <s v="Wrecking Ball"/>
    <s v="Miley Cyrus"/>
    <s v="dance pop"/>
    <x v="7"/>
    <n v="0.53"/>
    <n v="221"/>
    <n v="0.42"/>
    <x v="2"/>
    <n v="77"/>
    <x v="0"/>
  </r>
  <r>
    <s v="Right Now - Dyro Radio Edit"/>
    <s v="Rihanna"/>
    <s v="barbadian pop"/>
    <x v="7"/>
    <n v="0.53"/>
    <n v="186"/>
    <n v="0.74"/>
    <x v="0"/>
    <n v="42"/>
    <x v="0"/>
  </r>
  <r>
    <s v="Words as Weapons"/>
    <s v="Birdy"/>
    <s v="neo mellow"/>
    <x v="1"/>
    <n v="0.53"/>
    <n v="239"/>
    <n v="0.35"/>
    <x v="2"/>
    <n v="44"/>
    <x v="0"/>
  </r>
  <r>
    <s v="The Feeling"/>
    <s v="Justin Bieber"/>
    <s v="canadian pop"/>
    <x v="4"/>
    <n v="0.53"/>
    <n v="245"/>
    <n v="0.81"/>
    <x v="35"/>
    <n v="67"/>
    <x v="0"/>
  </r>
  <r>
    <s v="Don't Let Me Down"/>
    <s v="The Chainsmokers"/>
    <s v="electropop"/>
    <x v="2"/>
    <n v="0.53"/>
    <n v="208"/>
    <n v="0.87"/>
    <x v="65"/>
    <n v="81"/>
    <x v="0"/>
  </r>
  <r>
    <s v="Reggaet髇 Lento (Remix)"/>
    <s v="CNCO"/>
    <s v="boy band"/>
    <x v="3"/>
    <n v="0.53"/>
    <n v="189"/>
    <n v="0.91"/>
    <x v="29"/>
    <n v="71"/>
    <x v="1"/>
  </r>
  <r>
    <s v="Love"/>
    <s v="Lana Del Rey"/>
    <s v="art pop"/>
    <x v="3"/>
    <n v="0.53"/>
    <n v="273"/>
    <n v="0.37"/>
    <x v="62"/>
    <n v="72"/>
    <x v="1"/>
  </r>
  <r>
    <s v="2U (feat. Justin Bieber)"/>
    <s v="David Guetta"/>
    <s v="dance pop"/>
    <x v="0"/>
    <n v="0.53"/>
    <n v="195"/>
    <n v="0.61"/>
    <x v="73"/>
    <n v="65"/>
    <x v="0"/>
  </r>
  <r>
    <s v="Youth (feat. Khalid)"/>
    <s v="Shawn Mendes"/>
    <s v="canadian pop"/>
    <x v="0"/>
    <n v="0.53"/>
    <n v="191"/>
    <n v="0.6"/>
    <x v="8"/>
    <n v="75"/>
    <x v="0"/>
  </r>
  <r>
    <s v="No Brainer (feat. Justin Bieber, Chance the Rapper &amp; Quavo)"/>
    <s v="DJ Khaled"/>
    <s v="dance pop"/>
    <x v="5"/>
    <n v="0.53"/>
    <n v="260"/>
    <n v="0.76"/>
    <x v="7"/>
    <n v="70"/>
    <x v="0"/>
  </r>
  <r>
    <s v="Takeaway"/>
    <s v="The Chainsmokers"/>
    <s v="electropop"/>
    <x v="5"/>
    <n v="0.53"/>
    <n v="210"/>
    <n v="0.51"/>
    <x v="8"/>
    <n v="83"/>
    <x v="0"/>
  </r>
  <r>
    <s v="Secrets"/>
    <s v="OneRepublic"/>
    <s v="dance pop"/>
    <x v="8"/>
    <n v="0.52"/>
    <n v="225"/>
    <n v="0.76"/>
    <x v="59"/>
    <n v="77"/>
    <x v="0"/>
  </r>
  <r>
    <s v="You And I"/>
    <s v="Lady Gaga"/>
    <s v="dance pop"/>
    <x v="9"/>
    <n v="0.52"/>
    <n v="307"/>
    <n v="0.7"/>
    <x v="35"/>
    <n v="64"/>
    <x v="0"/>
  </r>
  <r>
    <s v="If I Lose Myself - Alesso vs OneRepublic"/>
    <s v="OneRepublic"/>
    <s v="dance pop"/>
    <x v="7"/>
    <n v="0.52"/>
    <n v="215"/>
    <n v="0.75"/>
    <x v="30"/>
    <n v="69"/>
    <x v="0"/>
  </r>
  <r>
    <s v="Heroes (we could be)"/>
    <s v="Alesso"/>
    <s v="big room"/>
    <x v="4"/>
    <n v="0.52"/>
    <n v="210"/>
    <n v="0.75"/>
    <x v="30"/>
    <n v="56"/>
    <x v="0"/>
  </r>
  <r>
    <s v="Start"/>
    <s v="John Legend"/>
    <s v="neo mellow"/>
    <x v="2"/>
    <n v="0.52"/>
    <n v="310"/>
    <n v="0.04"/>
    <x v="19"/>
    <n v="47"/>
    <x v="0"/>
  </r>
  <r>
    <s v="Sign of the Times"/>
    <s v="Harry Styles"/>
    <s v="dance pop"/>
    <x v="0"/>
    <n v="0.52"/>
    <n v="341"/>
    <n v="0.56999999999999995"/>
    <x v="2"/>
    <n v="72"/>
    <x v="0"/>
  </r>
  <r>
    <s v="Silence"/>
    <s v="Marshmello"/>
    <s v="brostep"/>
    <x v="0"/>
    <n v="0.52"/>
    <n v="181"/>
    <n v="0.76"/>
    <x v="78"/>
    <n v="82"/>
    <x v="0"/>
  </r>
  <r>
    <s v="Something's Got A Hold On Me - Burlesque Original Motion Picture Soundtrack"/>
    <s v="Christina Aguilera"/>
    <s v="dance pop"/>
    <x v="8"/>
    <n v="0.51"/>
    <n v="185"/>
    <n v="0.85"/>
    <x v="43"/>
    <n v="58"/>
    <x v="0"/>
  </r>
  <r>
    <s v="Wide Awake"/>
    <s v="Katy Perry"/>
    <s v="dance pop"/>
    <x v="6"/>
    <n v="0.51"/>
    <n v="221"/>
    <n v="0.68"/>
    <x v="65"/>
    <n v="68"/>
    <x v="0"/>
  </r>
  <r>
    <s v="Foolish Games"/>
    <s v="Jewel"/>
    <s v="alaska indie"/>
    <x v="7"/>
    <n v="0.51"/>
    <n v="250"/>
    <n v="0.34"/>
    <x v="56"/>
    <n v="36"/>
    <x v="0"/>
  </r>
  <r>
    <s v="Underneath the Tree"/>
    <s v="Kelly Clarkson"/>
    <s v="dance pop"/>
    <x v="7"/>
    <n v="0.51"/>
    <n v="230"/>
    <n v="0.81"/>
    <x v="65"/>
    <n v="88"/>
    <x v="0"/>
  </r>
  <r>
    <s v="Clarity"/>
    <s v="Zedd"/>
    <s v="complextro"/>
    <x v="7"/>
    <n v="0.51"/>
    <n v="271"/>
    <n v="0.78"/>
    <x v="22"/>
    <n v="75"/>
    <x v="0"/>
  </r>
  <r>
    <s v="Let Her Go"/>
    <s v="Passenger"/>
    <s v="folk-pop"/>
    <x v="1"/>
    <n v="0.51"/>
    <n v="253"/>
    <n v="0.54"/>
    <x v="85"/>
    <n v="77"/>
    <x v="1"/>
  </r>
  <r>
    <s v="Alive"/>
    <s v="Sia"/>
    <s v="australian dance"/>
    <x v="4"/>
    <n v="0.51"/>
    <n v="264"/>
    <n v="0.76"/>
    <x v="8"/>
    <n v="61"/>
    <x v="0"/>
  </r>
  <r>
    <s v="Lust for Life (with The Weeknd)"/>
    <s v="Lana Del Rey"/>
    <s v="art pop"/>
    <x v="3"/>
    <n v="0.51"/>
    <n v="264"/>
    <n v="0.67"/>
    <x v="8"/>
    <n v="54"/>
    <x v="0"/>
  </r>
  <r>
    <s v="Love On The Brain"/>
    <s v="Rihanna"/>
    <s v="barbadian pop"/>
    <x v="0"/>
    <n v="0.51"/>
    <n v="224"/>
    <n v="0.64"/>
    <x v="86"/>
    <n v="82"/>
    <x v="0"/>
  </r>
  <r>
    <s v="Lose You To Love Me"/>
    <s v="Selena Gomez"/>
    <s v="dance pop"/>
    <x v="5"/>
    <n v="0.51"/>
    <n v="206"/>
    <n v="0.34"/>
    <x v="27"/>
    <n v="97"/>
    <x v="0"/>
  </r>
  <r>
    <s v="Try Sleeping with a Broken Heart"/>
    <s v="Alicia Keys"/>
    <s v="hip pop"/>
    <x v="8"/>
    <n v="0.5"/>
    <n v="249"/>
    <n v="0.82"/>
    <x v="25"/>
    <n v="62"/>
    <x v="0"/>
  </r>
  <r>
    <s v="Dog Days Are Over"/>
    <s v="Florence + The Machine"/>
    <s v="art pop"/>
    <x v="8"/>
    <n v="0.5"/>
    <n v="253"/>
    <n v="0.81"/>
    <x v="43"/>
    <n v="58"/>
    <x v="0"/>
  </r>
  <r>
    <s v="Moment 4 Life - Album Version (Edited)"/>
    <s v="Nicki Minaj"/>
    <s v="dance pop"/>
    <x v="9"/>
    <n v="0.5"/>
    <n v="279"/>
    <n v="0.88"/>
    <x v="0"/>
    <n v="28"/>
    <x v="0"/>
  </r>
  <r>
    <s v="Heart Attack"/>
    <s v="Demi Lovato"/>
    <s v="dance pop"/>
    <x v="7"/>
    <n v="0.5"/>
    <n v="211"/>
    <n v="0.79"/>
    <x v="87"/>
    <n v="76"/>
    <x v="0"/>
  </r>
  <r>
    <s v="Let It Go - From &quot;Frozen / Single Version"/>
    <s v="Demi Lovato"/>
    <s v="dance pop"/>
    <x v="1"/>
    <n v="0.5"/>
    <n v="226"/>
    <n v="0.66"/>
    <x v="39"/>
    <n v="63"/>
    <x v="0"/>
  </r>
  <r>
    <s v="Latch"/>
    <s v="Disclosure"/>
    <s v="house"/>
    <x v="1"/>
    <n v="0.5"/>
    <n v="256"/>
    <n v="0.73"/>
    <x v="11"/>
    <n v="72"/>
    <x v="0"/>
  </r>
  <r>
    <s v="Love Me Again"/>
    <s v="John Newman"/>
    <s v="pop"/>
    <x v="1"/>
    <n v="0.5"/>
    <n v="240"/>
    <n v="0.89"/>
    <x v="30"/>
    <n v="73"/>
    <x v="0"/>
  </r>
  <r>
    <s v="In the Name of Love"/>
    <s v="Martin Garrix"/>
    <s v="big room"/>
    <x v="2"/>
    <n v="0.5"/>
    <n v="196"/>
    <n v="0.52"/>
    <x v="15"/>
    <n v="81"/>
    <x v="0"/>
  </r>
  <r>
    <s v="Someone You Loved"/>
    <s v="Lewis Capaldi"/>
    <s v="pop"/>
    <x v="5"/>
    <n v="0.5"/>
    <n v="182"/>
    <n v="0.41"/>
    <x v="19"/>
    <n v="96"/>
    <x v="0"/>
  </r>
  <r>
    <s v="She Looks So Perfect"/>
    <s v="5 Seconds of Summer"/>
    <s v="boy band"/>
    <x v="1"/>
    <n v="0.49"/>
    <n v="202"/>
    <n v="0.95"/>
    <x v="65"/>
    <n v="71"/>
    <x v="0"/>
  </r>
  <r>
    <s v="Heartbeat Song"/>
    <s v="Kelly Clarkson"/>
    <s v="dance pop"/>
    <x v="4"/>
    <n v="0.49"/>
    <n v="199"/>
    <n v="0.8"/>
    <x v="70"/>
    <n v="69"/>
    <x v="0"/>
  </r>
  <r>
    <s v="Empire State of Mind (Part II) Broken Down"/>
    <s v="Alicia Keys"/>
    <s v="hip pop"/>
    <x v="8"/>
    <n v="0.48"/>
    <n v="216"/>
    <n v="0.37"/>
    <x v="38"/>
    <n v="76"/>
    <x v="1"/>
  </r>
  <r>
    <s v="Animal"/>
    <s v="Neon Trees"/>
    <s v="indie pop"/>
    <x v="8"/>
    <n v="0.48"/>
    <n v="212"/>
    <n v="0.83"/>
    <x v="59"/>
    <n v="65"/>
    <x v="0"/>
  </r>
  <r>
    <s v="Hello"/>
    <s v="Adele"/>
    <s v="british soul"/>
    <x v="4"/>
    <n v="0.48"/>
    <n v="295"/>
    <n v="0.45"/>
    <x v="52"/>
    <n v="73"/>
    <x v="0"/>
  </r>
  <r>
    <s v="Bloodstream"/>
    <s v="Ed Sheeran"/>
    <s v="pop"/>
    <x v="4"/>
    <n v="0.48"/>
    <n v="309"/>
    <n v="0.59"/>
    <x v="88"/>
    <n v="52"/>
    <x v="1"/>
  </r>
  <r>
    <s v="L.A.LOVE (la la)"/>
    <s v="Fergie"/>
    <s v="dance pop"/>
    <x v="4"/>
    <n v="0.48"/>
    <n v="193"/>
    <n v="0.39"/>
    <x v="89"/>
    <n v="0"/>
    <x v="0"/>
  </r>
  <r>
    <s v="Walk On Water (feat. Beyonc?"/>
    <s v="Eminem"/>
    <s v="detroit hip hop"/>
    <x v="0"/>
    <n v="0.48"/>
    <n v="304"/>
    <n v="0.44"/>
    <x v="53"/>
    <n v="65"/>
    <x v="1"/>
  </r>
  <r>
    <s v="How Do You Sleep?"/>
    <s v="Sam Smith"/>
    <s v="pop"/>
    <x v="5"/>
    <n v="0.48"/>
    <n v="202"/>
    <n v="0.68"/>
    <x v="25"/>
    <n v="93"/>
    <x v="0"/>
  </r>
  <r>
    <s v="Rock N Roll"/>
    <s v="Avril Lavigne"/>
    <s v="canadian pop"/>
    <x v="7"/>
    <n v="0.47"/>
    <n v="207"/>
    <n v="0.96"/>
    <x v="90"/>
    <n v="61"/>
    <x v="0"/>
  </r>
  <r>
    <s v="Everybody Talks"/>
    <s v="Neon Trees"/>
    <s v="indie pop"/>
    <x v="7"/>
    <n v="0.47"/>
    <n v="177"/>
    <n v="0.92"/>
    <x v="54"/>
    <n v="74"/>
    <x v="0"/>
  </r>
  <r>
    <s v="XO"/>
    <s v="Beyonce"/>
    <s v="dance pop"/>
    <x v="1"/>
    <n v="0.47"/>
    <n v="216"/>
    <n v="0.79"/>
    <x v="91"/>
    <n v="56"/>
    <x v="0"/>
  </r>
  <r>
    <s v="Wings"/>
    <s v="Birdy"/>
    <s v="neo mellow"/>
    <x v="1"/>
    <n v="0.47"/>
    <n v="252"/>
    <n v="0.71"/>
    <x v="75"/>
    <n v="62"/>
    <x v="1"/>
  </r>
  <r>
    <s v="Love Me Harder"/>
    <s v="Ariana Grande"/>
    <s v="dance pop"/>
    <x v="4"/>
    <n v="0.47"/>
    <n v="236"/>
    <n v="0.71"/>
    <x v="62"/>
    <n v="76"/>
    <x v="1"/>
  </r>
  <r>
    <s v="Feel The Light - From The &quot;Home&quot; Soundtrack"/>
    <s v="Jennifer Lopez"/>
    <s v="dance pop"/>
    <x v="4"/>
    <n v="0.47"/>
    <n v="292"/>
    <n v="0.6"/>
    <x v="92"/>
    <n v="55"/>
    <x v="0"/>
  </r>
  <r>
    <s v="Steal My Girl"/>
    <s v="One Direction"/>
    <s v="boy band"/>
    <x v="4"/>
    <n v="0.47"/>
    <n v="227"/>
    <n v="0.76"/>
    <x v="74"/>
    <n v="51"/>
    <x v="1"/>
  </r>
  <r>
    <s v="Don't Be A Fool"/>
    <s v="Shawn Mendes"/>
    <s v="canadian pop"/>
    <x v="2"/>
    <n v="0.47"/>
    <n v="216"/>
    <n v="0.34"/>
    <x v="68"/>
    <n v="65"/>
    <x v="0"/>
  </r>
  <r>
    <s v="Tequila"/>
    <s v="Dan + Shay"/>
    <s v="contemporary country"/>
    <x v="0"/>
    <n v="0.47"/>
    <n v="196"/>
    <n v="0.59"/>
    <x v="47"/>
    <n v="76"/>
    <x v="1"/>
  </r>
  <r>
    <s v="Let Me"/>
    <s v="ZAYN"/>
    <s v="dance pop"/>
    <x v="0"/>
    <n v="0.46"/>
    <n v="185"/>
    <n v="0.56999999999999995"/>
    <x v="93"/>
    <n v="72"/>
    <x v="0"/>
  </r>
  <r>
    <s v="Castle Walls (feat. Christina Aguilera)"/>
    <s v="T.I."/>
    <s v="atl hip hop"/>
    <x v="8"/>
    <n v="0.45"/>
    <n v="329"/>
    <n v="0.86"/>
    <x v="57"/>
    <n v="49"/>
    <x v="1"/>
  </r>
  <r>
    <s v="Castle Walls (feat. Christina Aguilera)"/>
    <s v="T.I."/>
    <s v="atl hip hop"/>
    <x v="9"/>
    <n v="0.45"/>
    <n v="329"/>
    <n v="0.86"/>
    <x v="57"/>
    <n v="49"/>
    <x v="1"/>
  </r>
  <r>
    <s v="Paradise"/>
    <s v="Coldplay"/>
    <s v="permanent wave"/>
    <x v="6"/>
    <n v="0.45"/>
    <n v="279"/>
    <n v="0.59"/>
    <x v="39"/>
    <n v="79"/>
    <x v="0"/>
  </r>
  <r>
    <s v="Clown"/>
    <s v="Emeli Sande"/>
    <s v="dance pop"/>
    <x v="7"/>
    <n v="0.45"/>
    <n v="221"/>
    <n v="0.23"/>
    <x v="0"/>
    <n v="60"/>
    <x v="0"/>
  </r>
  <r>
    <s v="Say Something"/>
    <s v="A Great Big World"/>
    <s v="neo mellow"/>
    <x v="1"/>
    <n v="0.45"/>
    <n v="229"/>
    <n v="0.15"/>
    <x v="18"/>
    <n v="61"/>
    <x v="0"/>
  </r>
  <r>
    <s v="Chained To The Rhythm"/>
    <s v="Katy Perry"/>
    <s v="dance pop"/>
    <x v="3"/>
    <n v="0.45"/>
    <n v="238"/>
    <n v="0.8"/>
    <x v="94"/>
    <n v="72"/>
    <x v="0"/>
  </r>
  <r>
    <s v="Whataya Want from Me"/>
    <s v="Adam Lambert"/>
    <s v="australian pop"/>
    <x v="8"/>
    <n v="0.44"/>
    <n v="227"/>
    <n v="0.68"/>
    <x v="55"/>
    <n v="66"/>
    <x v="0"/>
  </r>
  <r>
    <s v="Like A G6"/>
    <s v="Far East Movement"/>
    <s v="dance pop"/>
    <x v="8"/>
    <n v="0.44"/>
    <n v="217"/>
    <n v="0.84"/>
    <x v="4"/>
    <n v="72"/>
    <x v="0"/>
  </r>
  <r>
    <s v="human"/>
    <s v="Christina Perri"/>
    <s v="dance pop"/>
    <x v="1"/>
    <n v="0.44"/>
    <n v="251"/>
    <n v="0.49"/>
    <x v="36"/>
    <n v="68"/>
    <x v="0"/>
  </r>
  <r>
    <s v="Treat You Better"/>
    <s v="Shawn Mendes"/>
    <s v="canadian pop"/>
    <x v="3"/>
    <n v="0.44"/>
    <n v="188"/>
    <n v="0.82"/>
    <x v="75"/>
    <n v="84"/>
    <x v="1"/>
  </r>
  <r>
    <s v="A L I E N S"/>
    <s v="Coldplay"/>
    <s v="permanent wave"/>
    <x v="3"/>
    <n v="0.43"/>
    <n v="282"/>
    <n v="0.88"/>
    <x v="59"/>
    <n v="41"/>
    <x v="0"/>
  </r>
  <r>
    <s v="A Thousand Years"/>
    <s v="Christina Perri"/>
    <s v="dance pop"/>
    <x v="9"/>
    <n v="0.42"/>
    <n v="285"/>
    <n v="0.41"/>
    <x v="34"/>
    <n v="81"/>
    <x v="0"/>
  </r>
  <r>
    <s v="Hall of Fame"/>
    <s v="The Script"/>
    <s v="celtic rock"/>
    <x v="7"/>
    <n v="0.42"/>
    <n v="203"/>
    <n v="0.87"/>
    <x v="95"/>
    <n v="80"/>
    <x v="1"/>
  </r>
  <r>
    <s v="All of Me"/>
    <s v="John Legend"/>
    <s v="neo mellow"/>
    <x v="1"/>
    <n v="0.42"/>
    <n v="270"/>
    <n v="0.26"/>
    <x v="2"/>
    <n v="86"/>
    <x v="0"/>
  </r>
  <r>
    <s v="Stay With Me"/>
    <s v="Sam Smith"/>
    <s v="pop"/>
    <x v="1"/>
    <n v="0.42"/>
    <n v="173"/>
    <n v="0.42"/>
    <x v="77"/>
    <n v="85"/>
    <x v="1"/>
  </r>
  <r>
    <s v="Elastic Heart"/>
    <s v="Sia"/>
    <s v="australian dance"/>
    <x v="4"/>
    <n v="0.42"/>
    <n v="257"/>
    <n v="0.79"/>
    <x v="0"/>
    <n v="73"/>
    <x v="0"/>
  </r>
  <r>
    <s v="Partition"/>
    <s v="Beyonce"/>
    <s v="dance pop"/>
    <x v="1"/>
    <n v="0.41"/>
    <n v="319"/>
    <n v="0.44"/>
    <x v="55"/>
    <n v="65"/>
    <x v="0"/>
  </r>
  <r>
    <s v="Not About Angels"/>
    <s v="Birdy"/>
    <s v="neo mellow"/>
    <x v="1"/>
    <n v="0.41"/>
    <n v="190"/>
    <n v="0.14000000000000001"/>
    <x v="9"/>
    <n v="56"/>
    <x v="0"/>
  </r>
  <r>
    <s v="Blame"/>
    <s v="Calvin Harris"/>
    <s v="dance pop"/>
    <x v="4"/>
    <n v="0.41"/>
    <n v="213"/>
    <n v="0.86"/>
    <x v="22"/>
    <n v="76"/>
    <x v="0"/>
  </r>
  <r>
    <s v="Rich Love (with Seeb)"/>
    <s v="OneRepublic"/>
    <s v="dance pop"/>
    <x v="3"/>
    <n v="0.4"/>
    <n v="201"/>
    <n v="0.87"/>
    <x v="28"/>
    <n v="70"/>
    <x v="0"/>
  </r>
  <r>
    <s v="American Oxygen"/>
    <s v="Rihanna"/>
    <s v="barbadian pop"/>
    <x v="4"/>
    <n v="0.39"/>
    <n v="320"/>
    <n v="0.75"/>
    <x v="96"/>
    <n v="61"/>
    <x v="1"/>
  </r>
  <r>
    <s v="Beautiful Birds (feat. Birdy)"/>
    <s v="Passenger"/>
    <s v="folk-pop"/>
    <x v="2"/>
    <n v="0.39"/>
    <n v="214"/>
    <n v="0.17"/>
    <x v="47"/>
    <n v="36"/>
    <x v="1"/>
  </r>
  <r>
    <s v="What About Us"/>
    <s v="P!nk"/>
    <s v="dance pop"/>
    <x v="0"/>
    <n v="0.39"/>
    <n v="272"/>
    <n v="0.59"/>
    <x v="33"/>
    <n v="66"/>
    <x v="0"/>
  </r>
  <r>
    <s v="We Are Young (feat. Janelle Mon醗)"/>
    <s v="fun."/>
    <s v="baroque pop"/>
    <x v="6"/>
    <n v="0.38"/>
    <n v="251"/>
    <n v="0.64"/>
    <x v="90"/>
    <n v="63"/>
    <x v="0"/>
  </r>
  <r>
    <s v="Impossible"/>
    <s v="James Arthur"/>
    <s v="pop"/>
    <x v="7"/>
    <n v="0.38"/>
    <n v="209"/>
    <n v="0.7"/>
    <x v="91"/>
    <n v="77"/>
    <x v="0"/>
  </r>
  <r>
    <s v="Here"/>
    <s v="Alessia Cara"/>
    <s v="canadian contemporary r&amp;b"/>
    <x v="4"/>
    <n v="0.38"/>
    <n v="199"/>
    <n v="0.82"/>
    <x v="2"/>
    <n v="68"/>
    <x v="0"/>
  </r>
  <r>
    <s v="Mark My Words"/>
    <s v="Justin Bieber"/>
    <s v="canadian pop"/>
    <x v="4"/>
    <n v="0.38"/>
    <n v="134"/>
    <n v="0.26"/>
    <x v="33"/>
    <n v="63"/>
    <x v="0"/>
  </r>
  <r>
    <s v="When We Were Young"/>
    <s v="Adele"/>
    <s v="british soul"/>
    <x v="2"/>
    <n v="0.38"/>
    <n v="291"/>
    <n v="0.59"/>
    <x v="36"/>
    <n v="58"/>
    <x v="0"/>
  </r>
  <r>
    <s v="Here"/>
    <s v="Alessia Cara"/>
    <s v="canadian contemporary r&amp;b"/>
    <x v="2"/>
    <n v="0.38"/>
    <n v="199"/>
    <n v="0.82"/>
    <x v="2"/>
    <n v="68"/>
    <x v="0"/>
  </r>
  <r>
    <s v="Invitation"/>
    <s v="Britney Spears"/>
    <s v="dance pop"/>
    <x v="2"/>
    <n v="0.37"/>
    <n v="200"/>
    <n v="0.65"/>
    <x v="26"/>
    <n v="44"/>
    <x v="0"/>
  </r>
  <r>
    <s v="Wish That You Were Here - From 揗iss Peregrine抯 Home for Peculiar Children?Original Motion Picture"/>
    <s v="Florence + The Machine"/>
    <s v="art pop"/>
    <x v="2"/>
    <n v="0.37"/>
    <n v="403"/>
    <n v="0.56999999999999995"/>
    <x v="29"/>
    <n v="57"/>
    <x v="1"/>
  </r>
  <r>
    <s v="Love Incredible (feat. Camila Cabello)"/>
    <s v="Cashmere Cat"/>
    <s v="downtempo"/>
    <x v="3"/>
    <n v="0.37"/>
    <n v="180"/>
    <n v="0.5"/>
    <x v="97"/>
    <n v="59"/>
    <x v="0"/>
  </r>
  <r>
    <s v="How Ya Doin'? (feat. Missy Elliott)"/>
    <s v="Little Mix"/>
    <s v="dance pop"/>
    <x v="7"/>
    <n v="0.36"/>
    <n v="211"/>
    <n v="0.95"/>
    <x v="98"/>
    <n v="50"/>
    <x v="0"/>
  </r>
  <r>
    <s v="I'll Show You"/>
    <s v="Justin Bieber"/>
    <s v="canadian pop"/>
    <x v="4"/>
    <n v="0.36"/>
    <n v="200"/>
    <n v="0.61"/>
    <x v="61"/>
    <n v="68"/>
    <x v="0"/>
  </r>
  <r>
    <s v="Jar of Hearts"/>
    <s v="Christina Perri"/>
    <s v="dance pop"/>
    <x v="9"/>
    <n v="0.35"/>
    <n v="247"/>
    <n v="0.35"/>
    <x v="85"/>
    <n v="50"/>
    <x v="1"/>
  </r>
  <r>
    <s v="Shot Me Down (feat. Skylar Grey) - Radio Edit"/>
    <s v="David Guetta"/>
    <s v="dance pop"/>
    <x v="1"/>
    <n v="0.35"/>
    <n v="191"/>
    <n v="0.77"/>
    <x v="61"/>
    <n v="61"/>
    <x v="0"/>
  </r>
  <r>
    <s v="Crying in the Club"/>
    <s v="Camila Cabello"/>
    <s v="dance pop"/>
    <x v="3"/>
    <n v="0.33"/>
    <n v="216"/>
    <n v="0.62"/>
    <x v="95"/>
    <n v="75"/>
    <x v="1"/>
  </r>
  <r>
    <s v="Runnin' (Lose It All)"/>
    <s v="Naughty Boy"/>
    <s v="tropical house"/>
    <x v="4"/>
    <n v="0.32"/>
    <n v="213"/>
    <n v="0.85"/>
    <x v="34"/>
    <n v="69"/>
    <x v="0"/>
  </r>
  <r>
    <s v="Runnin' (Lose It All)"/>
    <s v="Naughty Boy"/>
    <s v="tropical house"/>
    <x v="2"/>
    <n v="0.32"/>
    <n v="213"/>
    <n v="0.85"/>
    <x v="34"/>
    <n v="69"/>
    <x v="0"/>
  </r>
  <r>
    <s v="Hard"/>
    <s v="Rihanna"/>
    <s v="barbadian pop"/>
    <x v="8"/>
    <n v="0.31"/>
    <n v="251"/>
    <n v="0.75"/>
    <x v="99"/>
    <n v="57"/>
    <x v="0"/>
  </r>
  <r>
    <s v="How Far I'll Go - From &quot;Moana&quot;"/>
    <s v="Alessia Cara"/>
    <s v="canadian contemporary r&amp;b"/>
    <x v="3"/>
    <n v="0.31"/>
    <n v="176"/>
    <n v="0.54"/>
    <x v="100"/>
    <n v="71"/>
    <x v="0"/>
  </r>
  <r>
    <s v="1+1"/>
    <s v="Beyonce"/>
    <s v="dance pop"/>
    <x v="9"/>
    <n v="0.3"/>
    <n v="274"/>
    <n v="0.38"/>
    <x v="101"/>
    <n v="60"/>
    <x v="1"/>
  </r>
  <r>
    <s v="Turning Page"/>
    <s v="Sleeping At Last"/>
    <s v="acoustic pop"/>
    <x v="9"/>
    <n v="0.3"/>
    <n v="255"/>
    <n v="0.38"/>
    <x v="4"/>
    <n v="46"/>
    <x v="0"/>
  </r>
  <r>
    <s v="Bound To You - Burlesque Original Motion Picture Soundtrack"/>
    <s v="Christina Aguilera"/>
    <s v="dance pop"/>
    <x v="8"/>
    <n v="0.28999999999999998"/>
    <n v="264"/>
    <n v="0.41"/>
    <x v="58"/>
    <n v="61"/>
    <x v="0"/>
  </r>
  <r>
    <s v="Chandelier"/>
    <s v="Sia"/>
    <s v="australian dance"/>
    <x v="1"/>
    <n v="0.28999999999999998"/>
    <n v="216"/>
    <n v="0.78"/>
    <x v="87"/>
    <n v="56"/>
    <x v="0"/>
  </r>
  <r>
    <s v="Atlas - From 揟he Hunger Games: Catching Fire?Soundtrack"/>
    <s v="Coldplay"/>
    <s v="permanent wave"/>
    <x v="7"/>
    <n v="0.28000000000000003"/>
    <n v="236"/>
    <n v="0.45"/>
    <x v="7"/>
    <n v="55"/>
    <x v="0"/>
  </r>
  <r>
    <s v="Run Run Run"/>
    <s v="Kelly Clarkson"/>
    <s v="dance pop"/>
    <x v="4"/>
    <n v="0.28000000000000003"/>
    <n v="273"/>
    <n v="0.37"/>
    <x v="26"/>
    <n v="36"/>
    <x v="0"/>
  </r>
  <r>
    <s v="Animals"/>
    <s v="Maroon 5"/>
    <s v="pop"/>
    <x v="4"/>
    <n v="0.28000000000000003"/>
    <n v="231"/>
    <n v="0.74"/>
    <x v="94"/>
    <n v="76"/>
    <x v="0"/>
  </r>
  <r>
    <s v="Free Me"/>
    <s v="Sia"/>
    <s v="australian dance"/>
    <x v="3"/>
    <n v="0.27"/>
    <n v="286"/>
    <n v="0.46"/>
    <x v="42"/>
    <n v="44"/>
    <x v="1"/>
  </r>
  <r>
    <s v="Love Me Like You Do - From &quot;Fifty Shades Of Grey&quot;"/>
    <s v="Ellie Goulding"/>
    <s v="dance pop"/>
    <x v="4"/>
    <n v="0.26"/>
    <n v="253"/>
    <n v="0.61"/>
    <x v="94"/>
    <n v="79"/>
    <x v="0"/>
  </r>
  <r>
    <s v="St Jude"/>
    <s v="Florence + The Machine"/>
    <s v="art pop"/>
    <x v="4"/>
    <n v="0.26"/>
    <n v="225"/>
    <n v="0.43"/>
    <x v="12"/>
    <n v="47"/>
    <x v="0"/>
  </r>
  <r>
    <s v="Dusk Till Dawn - Radio Edit"/>
    <s v="ZAYN"/>
    <s v="dance pop"/>
    <x v="0"/>
    <n v="0.26"/>
    <n v="239"/>
    <n v="0.44"/>
    <x v="82"/>
    <n v="83"/>
    <x v="0"/>
  </r>
  <r>
    <s v="You Lost Me"/>
    <s v="Christina Aguilera"/>
    <s v="dance pop"/>
    <x v="8"/>
    <n v="0.23"/>
    <n v="257"/>
    <n v="0.39"/>
    <x v="102"/>
    <n v="56"/>
    <x v="1"/>
  </r>
  <r>
    <s v="Million Years Ago"/>
    <s v="Adele"/>
    <s v="british soul"/>
    <x v="2"/>
    <n v="0"/>
    <n v="227"/>
    <n v="0"/>
    <x v="103"/>
    <n v="0"/>
    <x v="1"/>
  </r>
  <r>
    <m/>
    <m/>
    <m/>
    <x v="10"/>
    <m/>
    <m/>
    <m/>
    <x v="104"/>
    <m/>
    <x v="2"/>
  </r>
  <r>
    <m/>
    <m/>
    <m/>
    <x v="10"/>
    <m/>
    <m/>
    <m/>
    <x v="104"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F9A566-8549-6F40-960D-5198B24926DD}" name="PivotTable11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Year">
  <location ref="O82:P93" firstHeaderRow="1" firstDataRow="1" firstDataCol="1"/>
  <pivotFields count="10">
    <pivotField showAll="0"/>
    <pivotField showAll="0"/>
    <pivotField showAll="0"/>
    <pivotField axis="axisRow" showAll="0" sortType="descending">
      <items count="12">
        <item x="8"/>
        <item x="9"/>
        <item x="6"/>
        <item x="7"/>
        <item x="1"/>
        <item x="4"/>
        <item x="2"/>
        <item x="3"/>
        <item x="0"/>
        <item x="5"/>
        <item h="1"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</pivotFields>
  <rowFields count="1">
    <field x="3"/>
  </rowFields>
  <rowItems count="11">
    <i>
      <x v="1"/>
    </i>
    <i>
      <x v="3"/>
    </i>
    <i>
      <x/>
    </i>
    <i>
      <x v="2"/>
    </i>
    <i>
      <x v="4"/>
    </i>
    <i>
      <x v="5"/>
    </i>
    <i>
      <x v="7"/>
    </i>
    <i>
      <x v="6"/>
    </i>
    <i>
      <x v="8"/>
    </i>
    <i>
      <x v="9"/>
    </i>
    <i t="grand">
      <x/>
    </i>
  </rowItems>
  <colItems count="1">
    <i/>
  </colItems>
  <dataFields count="1">
    <dataField name="Average of duration_s" fld="5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E468FB-D7B1-3940-A881-EBC41A11F548}" name="PivotTable10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Binning">
  <location ref="O73:P7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dataField="1" showAll="0">
      <items count="106">
        <item x="103"/>
        <item x="102"/>
        <item x="101"/>
        <item x="48"/>
        <item x="81"/>
        <item x="85"/>
        <item x="60"/>
        <item x="74"/>
        <item x="96"/>
        <item x="32"/>
        <item x="57"/>
        <item x="76"/>
        <item x="53"/>
        <item x="75"/>
        <item x="77"/>
        <item x="95"/>
        <item x="47"/>
        <item x="42"/>
        <item x="79"/>
        <item x="88"/>
        <item x="21"/>
        <item x="41"/>
        <item x="50"/>
        <item x="38"/>
        <item x="29"/>
        <item x="5"/>
        <item x="17"/>
        <item x="16"/>
        <item x="14"/>
        <item x="62"/>
        <item x="8"/>
        <item x="84"/>
        <item x="27"/>
        <item x="24"/>
        <item x="46"/>
        <item x="28"/>
        <item x="10"/>
        <item x="23"/>
        <item x="44"/>
        <item x="6"/>
        <item x="19"/>
        <item x="25"/>
        <item x="26"/>
        <item x="45"/>
        <item x="33"/>
        <item x="13"/>
        <item x="9"/>
        <item x="12"/>
        <item x="31"/>
        <item x="37"/>
        <item x="2"/>
        <item x="1"/>
        <item x="11"/>
        <item x="20"/>
        <item x="3"/>
        <item x="4"/>
        <item x="30"/>
        <item x="35"/>
        <item x="22"/>
        <item x="49"/>
        <item x="0"/>
        <item x="63"/>
        <item x="56"/>
        <item x="64"/>
        <item x="15"/>
        <item x="40"/>
        <item x="7"/>
        <item x="18"/>
        <item x="34"/>
        <item x="39"/>
        <item x="78"/>
        <item x="36"/>
        <item x="73"/>
        <item x="69"/>
        <item x="59"/>
        <item x="70"/>
        <item x="43"/>
        <item x="51"/>
        <item x="54"/>
        <item x="92"/>
        <item x="52"/>
        <item x="66"/>
        <item x="65"/>
        <item x="72"/>
        <item x="58"/>
        <item x="97"/>
        <item x="93"/>
        <item x="91"/>
        <item x="86"/>
        <item x="87"/>
        <item x="68"/>
        <item x="71"/>
        <item x="67"/>
        <item x="82"/>
        <item x="100"/>
        <item x="99"/>
        <item x="90"/>
        <item x="83"/>
        <item x="55"/>
        <item x="94"/>
        <item x="61"/>
        <item x="98"/>
        <item x="89"/>
        <item x="80"/>
        <item x="104"/>
        <item t="default"/>
      </items>
    </pivotField>
    <pivotField showAll="0"/>
    <pivotField axis="axisRow" showAll="0">
      <items count="4">
        <item x="0"/>
        <item x="1"/>
        <item h="1" x="2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Count of tempo_bpm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74048D-067A-734D-80F5-5511E12FE28B}" name="PivotTable8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Genre">
  <location ref="O17:P68" firstHeaderRow="1" firstDataRow="1" firstDataCol="1"/>
  <pivotFields count="9">
    <pivotField showAll="0"/>
    <pivotField showAll="0"/>
    <pivotField axis="axisRow" showAll="0" sortType="descending">
      <items count="52">
        <item x="15"/>
        <item x="22"/>
        <item x="48"/>
        <item x="5"/>
        <item x="11"/>
        <item x="30"/>
        <item x="27"/>
        <item x="1"/>
        <item x="9"/>
        <item x="17"/>
        <item x="35"/>
        <item x="7"/>
        <item x="18"/>
        <item x="13"/>
        <item x="46"/>
        <item x="32"/>
        <item x="20"/>
        <item x="40"/>
        <item x="6"/>
        <item x="21"/>
        <item x="23"/>
        <item x="14"/>
        <item x="10"/>
        <item x="24"/>
        <item x="45"/>
        <item x="0"/>
        <item x="39"/>
        <item x="4"/>
        <item x="42"/>
        <item x="44"/>
        <item x="19"/>
        <item x="41"/>
        <item x="43"/>
        <item x="31"/>
        <item x="49"/>
        <item x="29"/>
        <item x="34"/>
        <item x="37"/>
        <item x="2"/>
        <item x="28"/>
        <item x="26"/>
        <item x="8"/>
        <item x="33"/>
        <item x="38"/>
        <item x="25"/>
        <item x="47"/>
        <item x="12"/>
        <item x="16"/>
        <item x="3"/>
        <item x="36"/>
        <item h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51">
    <i>
      <x v="34"/>
    </i>
    <i>
      <x v="14"/>
    </i>
    <i>
      <x v="2"/>
    </i>
    <i>
      <x v="42"/>
    </i>
    <i>
      <x v="26"/>
    </i>
    <i>
      <x v="20"/>
    </i>
    <i>
      <x v="32"/>
    </i>
    <i>
      <x v="29"/>
    </i>
    <i>
      <x v="15"/>
    </i>
    <i>
      <x v="33"/>
    </i>
    <i>
      <x v="24"/>
    </i>
    <i>
      <x v="48"/>
    </i>
    <i>
      <x v="30"/>
    </i>
    <i>
      <x v="16"/>
    </i>
    <i>
      <x v="27"/>
    </i>
    <i>
      <x v="44"/>
    </i>
    <i>
      <x v="21"/>
    </i>
    <i>
      <x v="18"/>
    </i>
    <i>
      <x v="40"/>
    </i>
    <i>
      <x v="49"/>
    </i>
    <i>
      <x v="37"/>
    </i>
    <i>
      <x v="6"/>
    </i>
    <i>
      <x v="31"/>
    </i>
    <i>
      <x v="12"/>
    </i>
    <i>
      <x v="41"/>
    </i>
    <i>
      <x v="9"/>
    </i>
    <i>
      <x v="23"/>
    </i>
    <i>
      <x v="11"/>
    </i>
    <i>
      <x v="8"/>
    </i>
    <i>
      <x v="7"/>
    </i>
    <i>
      <x v="25"/>
    </i>
    <i>
      <x v="3"/>
    </i>
    <i>
      <x v="5"/>
    </i>
    <i>
      <x v="43"/>
    </i>
    <i>
      <x v="13"/>
    </i>
    <i>
      <x v="28"/>
    </i>
    <i>
      <x v="46"/>
    </i>
    <i>
      <x v="10"/>
    </i>
    <i>
      <x v="47"/>
    </i>
    <i>
      <x/>
    </i>
    <i>
      <x v="19"/>
    </i>
    <i>
      <x v="36"/>
    </i>
    <i>
      <x v="35"/>
    </i>
    <i>
      <x v="22"/>
    </i>
    <i>
      <x v="38"/>
    </i>
    <i>
      <x v="45"/>
    </i>
    <i>
      <x v="4"/>
    </i>
    <i>
      <x v="39"/>
    </i>
    <i>
      <x v="1"/>
    </i>
    <i>
      <x v="17"/>
    </i>
    <i t="grand">
      <x/>
    </i>
  </rowItems>
  <colItems count="1">
    <i/>
  </colItems>
  <dataFields count="1">
    <dataField name="Average of popularity" fld="8" subtotal="average" baseField="0" baseItem="0" numFmtId="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BD49B-7A03-834E-9179-B08C56E908C6}" name="PivotTable7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Artists">
  <location ref="L17:M202" firstHeaderRow="1" firstDataRow="1" firstDataCol="1"/>
  <pivotFields count="9">
    <pivotField dataField="1" showAll="0">
      <items count="586">
        <item x="6"/>
        <item x="269"/>
        <item x="548"/>
        <item x="180"/>
        <item x="260"/>
        <item x="203"/>
        <item x="57"/>
        <item x="434"/>
        <item x="504"/>
        <item x="395"/>
        <item x="444"/>
        <item x="156"/>
        <item x="225"/>
        <item x="63"/>
        <item x="248"/>
        <item x="387"/>
        <item x="28"/>
        <item x="348"/>
        <item x="325"/>
        <item x="576"/>
        <item x="355"/>
        <item x="234"/>
        <item x="34"/>
        <item x="422"/>
        <item x="340"/>
        <item x="249"/>
        <item x="451"/>
        <item x="32"/>
        <item x="322"/>
        <item x="561"/>
        <item x="152"/>
        <item x="536"/>
        <item x="174"/>
        <item x="145"/>
        <item x="502"/>
        <item x="19"/>
        <item x="291"/>
        <item x="517"/>
        <item x="540"/>
        <item x="26"/>
        <item x="301"/>
        <item x="276"/>
        <item x="411"/>
        <item x="559"/>
        <item x="113"/>
        <item x="310"/>
        <item x="406"/>
        <item x="173"/>
        <item x="188"/>
        <item x="56"/>
        <item x="239"/>
        <item x="25"/>
        <item x="271"/>
        <item x="282"/>
        <item x="78"/>
        <item x="125"/>
        <item x="376"/>
        <item x="195"/>
        <item x="288"/>
        <item x="438"/>
        <item x="448"/>
        <item x="373"/>
        <item x="456"/>
        <item x="534"/>
        <item x="223"/>
        <item x="298"/>
        <item x="79"/>
        <item x="9"/>
        <item x="114"/>
        <item x="197"/>
        <item x="266"/>
        <item x="42"/>
        <item x="268"/>
        <item x="229"/>
        <item x="386"/>
        <item x="375"/>
        <item x="21"/>
        <item x="103"/>
        <item x="582"/>
        <item x="483"/>
        <item x="178"/>
        <item x="256"/>
        <item x="390"/>
        <item x="241"/>
        <item x="516"/>
        <item x="40"/>
        <item x="336"/>
        <item x="455"/>
        <item x="407"/>
        <item x="258"/>
        <item x="372"/>
        <item x="418"/>
        <item x="96"/>
        <item x="532"/>
        <item x="204"/>
        <item x="408"/>
        <item x="484"/>
        <item x="153"/>
        <item x="17"/>
        <item x="468"/>
        <item x="398"/>
        <item x="198"/>
        <item x="253"/>
        <item x="305"/>
        <item x="555"/>
        <item x="374"/>
        <item x="424"/>
        <item x="31"/>
        <item x="172"/>
        <item x="562"/>
        <item x="419"/>
        <item x="437"/>
        <item x="439"/>
        <item x="111"/>
        <item x="297"/>
        <item x="360"/>
        <item x="237"/>
        <item x="181"/>
        <item x="323"/>
        <item x="425"/>
        <item x="467"/>
        <item x="129"/>
        <item x="171"/>
        <item x="50"/>
        <item x="365"/>
        <item x="5"/>
        <item x="18"/>
        <item x="112"/>
        <item x="280"/>
        <item x="417"/>
        <item x="300"/>
        <item x="570"/>
        <item x="423"/>
        <item x="127"/>
        <item x="199"/>
        <item x="317"/>
        <item x="500"/>
        <item x="214"/>
        <item x="551"/>
        <item x="41"/>
        <item x="74"/>
        <item x="351"/>
        <item x="349"/>
        <item x="37"/>
        <item x="347"/>
        <item x="362"/>
        <item x="545"/>
        <item x="3"/>
        <item x="547"/>
        <item x="185"/>
        <item x="525"/>
        <item x="230"/>
        <item x="299"/>
        <item x="192"/>
        <item x="495"/>
        <item x="522"/>
        <item x="396"/>
        <item x="155"/>
        <item x="571"/>
        <item x="496"/>
        <item x="335"/>
        <item x="76"/>
        <item x="459"/>
        <item x="267"/>
        <item x="160"/>
        <item x="526"/>
        <item x="339"/>
        <item x="170"/>
        <item x="482"/>
        <item x="521"/>
        <item x="240"/>
        <item x="273"/>
        <item x="492"/>
        <item x="146"/>
        <item x="318"/>
        <item x="553"/>
        <item x="135"/>
        <item x="537"/>
        <item x="574"/>
        <item x="196"/>
        <item x="93"/>
        <item x="134"/>
        <item x="568"/>
        <item x="91"/>
        <item x="123"/>
        <item x="220"/>
        <item x="476"/>
        <item x="61"/>
        <item x="200"/>
        <item x="414"/>
        <item x="575"/>
        <item x="252"/>
        <item x="36"/>
        <item x="498"/>
        <item x="149"/>
        <item x="312"/>
        <item x="162"/>
        <item x="30"/>
        <item x="262"/>
        <item x="263"/>
        <item x="210"/>
        <item x="275"/>
        <item x="48"/>
        <item x="369"/>
        <item x="566"/>
        <item x="514"/>
        <item x="60"/>
        <item x="151"/>
        <item x="270"/>
        <item x="577"/>
        <item x="431"/>
        <item x="177"/>
        <item x="224"/>
        <item x="379"/>
        <item x="560"/>
        <item x="490"/>
        <item x="488"/>
        <item x="363"/>
        <item x="132"/>
        <item x="416"/>
        <item x="15"/>
        <item x="333"/>
        <item x="157"/>
        <item x="233"/>
        <item x="272"/>
        <item x="403"/>
        <item x="59"/>
        <item x="354"/>
        <item x="306"/>
        <item x="69"/>
        <item x="343"/>
        <item x="445"/>
        <item x="508"/>
        <item x="2"/>
        <item x="190"/>
        <item x="45"/>
        <item x="158"/>
        <item x="542"/>
        <item x="399"/>
        <item x="489"/>
        <item x="126"/>
        <item x="361"/>
        <item x="71"/>
        <item x="367"/>
        <item x="458"/>
        <item x="102"/>
        <item x="207"/>
        <item x="64"/>
        <item x="328"/>
        <item x="82"/>
        <item x="99"/>
        <item x="191"/>
        <item x="410"/>
        <item x="7"/>
        <item x="364"/>
        <item x="415"/>
        <item x="583"/>
        <item x="189"/>
        <item x="447"/>
        <item x="449"/>
        <item x="286"/>
        <item x="257"/>
        <item x="75"/>
        <item x="228"/>
        <item x="342"/>
        <item x="311"/>
        <item x="530"/>
        <item x="251"/>
        <item x="227"/>
        <item x="552"/>
        <item x="285"/>
        <item x="515"/>
        <item x="446"/>
        <item x="186"/>
        <item x="397"/>
        <item x="107"/>
        <item x="16"/>
        <item x="427"/>
        <item x="401"/>
        <item x="324"/>
        <item x="385"/>
        <item x="159"/>
        <item x="319"/>
        <item x="39"/>
        <item x="101"/>
        <item x="546"/>
        <item x="578"/>
        <item x="147"/>
        <item x="461"/>
        <item x="440"/>
        <item x="235"/>
        <item x="265"/>
        <item x="315"/>
        <item x="283"/>
        <item x="247"/>
        <item x="535"/>
        <item x="54"/>
        <item x="250"/>
        <item x="182"/>
        <item x="14"/>
        <item x="131"/>
        <item x="302"/>
        <item x="463"/>
        <item x="150"/>
        <item x="383"/>
        <item x="366"/>
        <item x="470"/>
        <item x="453"/>
        <item x="246"/>
        <item x="309"/>
        <item x="83"/>
        <item x="8"/>
        <item x="400"/>
        <item x="382"/>
        <item x="44"/>
        <item x="573"/>
        <item x="480"/>
        <item x="477"/>
        <item x="520"/>
        <item x="392"/>
        <item x="358"/>
        <item x="164"/>
        <item x="29"/>
        <item x="501"/>
        <item x="209"/>
        <item x="89"/>
        <item x="73"/>
        <item x="176"/>
        <item x="513"/>
        <item x="86"/>
        <item x="338"/>
        <item x="90"/>
        <item x="0"/>
        <item x="289"/>
        <item x="550"/>
        <item x="435"/>
        <item x="38"/>
        <item x="413"/>
        <item x="544"/>
        <item x="499"/>
        <item x="353"/>
        <item x="509"/>
        <item x="154"/>
        <item x="330"/>
        <item x="402"/>
        <item x="556"/>
        <item x="554"/>
        <item x="494"/>
        <item x="475"/>
        <item x="236"/>
        <item x="216"/>
        <item x="12"/>
        <item x="572"/>
        <item x="478"/>
        <item x="49"/>
        <item x="284"/>
        <item x="68"/>
        <item x="371"/>
        <item x="497"/>
        <item x="120"/>
        <item x="35"/>
        <item x="563"/>
        <item x="334"/>
        <item x="141"/>
        <item x="420"/>
        <item x="193"/>
        <item x="144"/>
        <item x="70"/>
        <item x="105"/>
        <item x="486"/>
        <item x="115"/>
        <item x="212"/>
        <item x="84"/>
        <item x="119"/>
        <item x="169"/>
        <item x="405"/>
        <item x="331"/>
        <item x="511"/>
        <item x="393"/>
        <item x="388"/>
        <item x="426"/>
        <item x="148"/>
        <item x="87"/>
        <item x="161"/>
        <item x="211"/>
        <item x="314"/>
        <item x="457"/>
        <item x="72"/>
        <item x="208"/>
        <item x="92"/>
        <item x="274"/>
        <item x="316"/>
        <item x="466"/>
        <item x="278"/>
        <item x="443"/>
        <item x="473"/>
        <item x="452"/>
        <item x="474"/>
        <item x="194"/>
        <item x="391"/>
        <item x="167"/>
        <item x="139"/>
        <item x="46"/>
        <item x="442"/>
        <item x="52"/>
        <item x="421"/>
        <item x="244"/>
        <item x="370"/>
        <item x="313"/>
        <item x="55"/>
        <item x="327"/>
        <item x="97"/>
        <item x="345"/>
        <item x="206"/>
        <item x="359"/>
        <item x="33"/>
        <item x="352"/>
        <item x="356"/>
        <item x="100"/>
        <item x="85"/>
        <item x="13"/>
        <item x="580"/>
        <item x="259"/>
        <item x="524"/>
        <item x="450"/>
        <item x="205"/>
        <item x="242"/>
        <item x="226"/>
        <item x="394"/>
        <item x="549"/>
        <item x="432"/>
        <item x="518"/>
        <item x="529"/>
        <item x="281"/>
        <item x="436"/>
        <item x="472"/>
        <item x="108"/>
        <item x="51"/>
        <item x="567"/>
        <item x="485"/>
        <item x="10"/>
        <item x="303"/>
        <item x="505"/>
        <item x="558"/>
        <item x="292"/>
        <item x="293"/>
        <item x="290"/>
        <item x="487"/>
        <item x="121"/>
        <item x="389"/>
        <item x="384"/>
        <item x="491"/>
        <item x="261"/>
        <item x="255"/>
        <item x="332"/>
        <item x="110"/>
        <item x="346"/>
        <item x="187"/>
        <item x="464"/>
        <item x="118"/>
        <item x="564"/>
        <item x="321"/>
        <item x="341"/>
        <item x="163"/>
        <item x="222"/>
        <item x="462"/>
        <item x="175"/>
        <item x="88"/>
        <item x="493"/>
        <item x="523"/>
        <item x="143"/>
        <item x="454"/>
        <item x="166"/>
        <item x="24"/>
        <item x="294"/>
        <item x="581"/>
        <item x="557"/>
        <item x="565"/>
        <item x="231"/>
        <item x="243"/>
        <item x="217"/>
        <item x="20"/>
        <item x="27"/>
        <item x="506"/>
        <item x="503"/>
        <item x="433"/>
        <item x="460"/>
        <item x="80"/>
        <item x="307"/>
        <item x="481"/>
        <item x="344"/>
        <item x="350"/>
        <item x="117"/>
        <item x="43"/>
        <item x="136"/>
        <item x="469"/>
        <item x="541"/>
        <item x="538"/>
        <item x="279"/>
        <item x="238"/>
        <item x="368"/>
        <item x="531"/>
        <item x="179"/>
        <item x="22"/>
        <item x="58"/>
        <item x="337"/>
        <item x="430"/>
        <item x="106"/>
        <item x="165"/>
        <item x="66"/>
        <item x="67"/>
        <item x="378"/>
        <item x="377"/>
        <item x="465"/>
        <item x="579"/>
        <item x="219"/>
        <item x="479"/>
        <item x="428"/>
        <item x="296"/>
        <item x="569"/>
        <item x="124"/>
        <item x="4"/>
        <item x="104"/>
        <item x="98"/>
        <item x="142"/>
        <item x="168"/>
        <item x="329"/>
        <item x="320"/>
        <item x="528"/>
        <item x="138"/>
        <item x="512"/>
        <item x="201"/>
        <item x="510"/>
        <item x="295"/>
        <item x="429"/>
        <item x="326"/>
        <item x="264"/>
        <item x="133"/>
        <item x="254"/>
        <item x="109"/>
        <item x="183"/>
        <item x="441"/>
        <item x="95"/>
        <item x="202"/>
        <item x="77"/>
        <item x="137"/>
        <item x="533"/>
        <item x="304"/>
        <item x="308"/>
        <item x="519"/>
        <item x="527"/>
        <item x="122"/>
        <item x="53"/>
        <item x="94"/>
        <item x="1"/>
        <item x="357"/>
        <item x="128"/>
        <item x="409"/>
        <item x="116"/>
        <item x="232"/>
        <item x="507"/>
        <item x="215"/>
        <item x="381"/>
        <item x="65"/>
        <item x="539"/>
        <item x="218"/>
        <item x="412"/>
        <item x="140"/>
        <item x="380"/>
        <item x="287"/>
        <item x="184"/>
        <item x="47"/>
        <item x="404"/>
        <item x="213"/>
        <item x="62"/>
        <item x="277"/>
        <item x="81"/>
        <item x="130"/>
        <item x="11"/>
        <item x="245"/>
        <item x="221"/>
        <item x="471"/>
        <item x="23"/>
        <item x="543"/>
        <item x="584"/>
        <item t="default"/>
      </items>
    </pivotField>
    <pivotField axis="axisRow" showAll="0" sortType="descending">
      <items count="186">
        <item x="0"/>
        <item x="85"/>
        <item x="86"/>
        <item x="1"/>
        <item x="31"/>
        <item x="151"/>
        <item x="105"/>
        <item x="106"/>
        <item x="2"/>
        <item x="164"/>
        <item x="55"/>
        <item x="56"/>
        <item x="57"/>
        <item x="32"/>
        <item x="133"/>
        <item x="87"/>
        <item x="134"/>
        <item x="33"/>
        <item x="88"/>
        <item x="3"/>
        <item x="4"/>
        <item x="58"/>
        <item x="152"/>
        <item x="153"/>
        <item x="45"/>
        <item x="154"/>
        <item x="89"/>
        <item x="135"/>
        <item x="34"/>
        <item x="5"/>
        <item x="35"/>
        <item x="59"/>
        <item x="107"/>
        <item x="155"/>
        <item x="46"/>
        <item x="177"/>
        <item x="60"/>
        <item x="165"/>
        <item x="6"/>
        <item x="61"/>
        <item x="90"/>
        <item x="156"/>
        <item x="157"/>
        <item x="136"/>
        <item x="62"/>
        <item x="166"/>
        <item x="108"/>
        <item x="47"/>
        <item x="63"/>
        <item x="7"/>
        <item x="8"/>
        <item x="9"/>
        <item x="64"/>
        <item x="109"/>
        <item x="10"/>
        <item x="11"/>
        <item x="48"/>
        <item x="137"/>
        <item x="158"/>
        <item x="110"/>
        <item x="49"/>
        <item x="138"/>
        <item x="167"/>
        <item x="168"/>
        <item x="169"/>
        <item x="111"/>
        <item x="36"/>
        <item x="112"/>
        <item x="65"/>
        <item x="91"/>
        <item x="170"/>
        <item x="66"/>
        <item x="139"/>
        <item x="92"/>
        <item x="113"/>
        <item x="37"/>
        <item x="114"/>
        <item x="38"/>
        <item x="67"/>
        <item x="140"/>
        <item x="93"/>
        <item x="94"/>
        <item x="159"/>
        <item x="68"/>
        <item x="12"/>
        <item x="69"/>
        <item x="39"/>
        <item x="13"/>
        <item x="50"/>
        <item x="70"/>
        <item x="14"/>
        <item x="178"/>
        <item x="160"/>
        <item x="71"/>
        <item x="15"/>
        <item x="72"/>
        <item x="95"/>
        <item x="179"/>
        <item x="161"/>
        <item x="115"/>
        <item x="96"/>
        <item x="73"/>
        <item x="180"/>
        <item x="40"/>
        <item x="97"/>
        <item x="116"/>
        <item x="162"/>
        <item x="141"/>
        <item x="142"/>
        <item x="181"/>
        <item x="74"/>
        <item x="117"/>
        <item x="98"/>
        <item x="143"/>
        <item x="75"/>
        <item x="118"/>
        <item x="16"/>
        <item x="171"/>
        <item x="144"/>
        <item x="17"/>
        <item x="119"/>
        <item x="99"/>
        <item x="18"/>
        <item x="76"/>
        <item x="145"/>
        <item x="120"/>
        <item x="172"/>
        <item x="121"/>
        <item x="77"/>
        <item x="146"/>
        <item x="19"/>
        <item x="163"/>
        <item x="122"/>
        <item x="41"/>
        <item x="123"/>
        <item x="51"/>
        <item x="20"/>
        <item x="52"/>
        <item x="42"/>
        <item x="124"/>
        <item x="100"/>
        <item x="101"/>
        <item x="43"/>
        <item x="182"/>
        <item x="173"/>
        <item x="125"/>
        <item x="21"/>
        <item x="174"/>
        <item x="126"/>
        <item x="78"/>
        <item x="127"/>
        <item x="102"/>
        <item x="79"/>
        <item x="22"/>
        <item x="80"/>
        <item x="23"/>
        <item x="183"/>
        <item x="24"/>
        <item x="128"/>
        <item x="103"/>
        <item x="129"/>
        <item x="175"/>
        <item x="44"/>
        <item x="147"/>
        <item x="81"/>
        <item x="25"/>
        <item x="26"/>
        <item x="53"/>
        <item x="27"/>
        <item x="104"/>
        <item x="82"/>
        <item x="54"/>
        <item x="130"/>
        <item x="28"/>
        <item x="148"/>
        <item x="29"/>
        <item x="176"/>
        <item x="30"/>
        <item x="83"/>
        <item x="131"/>
        <item x="149"/>
        <item x="132"/>
        <item x="150"/>
        <item x="84"/>
        <item h="1" x="1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5">
    <i>
      <x v="87"/>
    </i>
    <i>
      <x v="84"/>
    </i>
    <i>
      <x v="116"/>
    </i>
    <i>
      <x v="146"/>
    </i>
    <i>
      <x v="94"/>
    </i>
    <i>
      <x v="20"/>
    </i>
    <i>
      <x v="158"/>
    </i>
    <i>
      <x v="142"/>
    </i>
    <i>
      <x v="46"/>
    </i>
    <i>
      <x v="169"/>
    </i>
    <i>
      <x v="21"/>
    </i>
    <i>
      <x v="4"/>
    </i>
    <i>
      <x v="75"/>
    </i>
    <i>
      <x v="10"/>
    </i>
    <i>
      <x v="38"/>
    </i>
    <i>
      <x v="19"/>
    </i>
    <i>
      <x v="136"/>
    </i>
    <i>
      <x v="85"/>
    </i>
    <i>
      <x v="90"/>
    </i>
    <i>
      <x v="17"/>
    </i>
    <i>
      <x v="154"/>
    </i>
    <i>
      <x v="39"/>
    </i>
    <i>
      <x v="167"/>
    </i>
    <i>
      <x v="43"/>
    </i>
    <i>
      <x v="135"/>
    </i>
    <i>
      <x v="29"/>
    </i>
    <i>
      <x v="133"/>
    </i>
    <i>
      <x v="159"/>
    </i>
    <i>
      <x v="183"/>
    </i>
    <i>
      <x v="138"/>
    </i>
    <i>
      <x v="120"/>
    </i>
    <i>
      <x v="8"/>
    </i>
    <i>
      <x v="24"/>
    </i>
    <i>
      <x v="88"/>
    </i>
    <i>
      <x v="123"/>
    </i>
    <i>
      <x v="47"/>
    </i>
    <i>
      <x v="182"/>
    </i>
    <i>
      <x v="50"/>
    </i>
    <i>
      <x v="101"/>
    </i>
    <i>
      <x v="168"/>
    </i>
    <i>
      <x v="18"/>
    </i>
    <i>
      <x v="172"/>
    </i>
    <i>
      <x v="73"/>
    </i>
    <i>
      <x v="34"/>
    </i>
    <i>
      <x v="132"/>
    </i>
    <i>
      <x v="95"/>
    </i>
    <i>
      <x v="6"/>
    </i>
    <i>
      <x v="53"/>
    </i>
    <i>
      <x v="92"/>
    </i>
    <i>
      <x v="23"/>
    </i>
    <i>
      <x v="27"/>
    </i>
    <i>
      <x v="22"/>
    </i>
    <i>
      <x v="55"/>
    </i>
    <i>
      <x v="48"/>
    </i>
    <i>
      <x v="59"/>
    </i>
    <i>
      <x v="45"/>
    </i>
    <i>
      <x v="110"/>
    </i>
    <i>
      <x v="30"/>
    </i>
    <i>
      <x v="115"/>
    </i>
    <i>
      <x v="151"/>
    </i>
    <i>
      <x v="28"/>
    </i>
    <i>
      <x v="157"/>
    </i>
    <i>
      <x v="122"/>
    </i>
    <i>
      <x v="41"/>
    </i>
    <i>
      <x v="61"/>
    </i>
    <i>
      <x v="52"/>
    </i>
    <i>
      <x v="12"/>
    </i>
    <i>
      <x v="171"/>
    </i>
    <i>
      <x v="77"/>
    </i>
    <i>
      <x v="83"/>
    </i>
    <i>
      <x v="98"/>
    </i>
    <i>
      <x v="150"/>
    </i>
    <i>
      <x v="57"/>
    </i>
    <i>
      <x v="177"/>
    </i>
    <i>
      <x v="42"/>
    </i>
    <i>
      <x v="16"/>
    </i>
    <i>
      <x v="80"/>
    </i>
    <i>
      <x v="165"/>
    </i>
    <i>
      <x v="44"/>
    </i>
    <i>
      <x v="130"/>
    </i>
    <i>
      <x v="11"/>
    </i>
    <i>
      <x v="140"/>
    </i>
    <i>
      <x v="32"/>
    </i>
    <i>
      <x v="148"/>
    </i>
    <i>
      <x v="49"/>
    </i>
    <i>
      <x v="65"/>
    </i>
    <i>
      <x v="3"/>
    </i>
    <i>
      <x v="173"/>
    </i>
    <i>
      <x v="102"/>
    </i>
    <i>
      <x v="127"/>
    </i>
    <i>
      <x v="103"/>
    </i>
    <i>
      <x v="131"/>
    </i>
    <i>
      <x v="105"/>
    </i>
    <i>
      <x v="25"/>
    </i>
    <i>
      <x v="36"/>
    </i>
    <i>
      <x v="141"/>
    </i>
    <i>
      <x v="111"/>
    </i>
    <i>
      <x v="147"/>
    </i>
    <i>
      <x v="113"/>
    </i>
    <i>
      <x v="149"/>
    </i>
    <i>
      <x v="114"/>
    </i>
    <i>
      <x v="155"/>
    </i>
    <i>
      <x v="13"/>
    </i>
    <i>
      <x v="160"/>
    </i>
    <i>
      <x v="117"/>
    </i>
    <i>
      <x v="166"/>
    </i>
    <i>
      <x v="118"/>
    </i>
    <i>
      <x v="174"/>
    </i>
    <i>
      <x v="54"/>
    </i>
    <i>
      <x v="56"/>
    </i>
    <i>
      <x v="124"/>
    </i>
    <i>
      <x v="109"/>
    </i>
    <i>
      <x v="64"/>
    </i>
    <i>
      <x v="79"/>
    </i>
    <i>
      <x v="112"/>
    </i>
    <i>
      <x v="107"/>
    </i>
    <i>
      <x v="9"/>
    </i>
    <i>
      <x v="179"/>
    </i>
    <i>
      <x v="2"/>
    </i>
    <i>
      <x v="62"/>
    </i>
    <i>
      <x v="37"/>
    </i>
    <i>
      <x v="162"/>
    </i>
    <i>
      <x v="86"/>
    </i>
    <i>
      <x v="170"/>
    </i>
    <i>
      <x v="72"/>
    </i>
    <i>
      <x v="178"/>
    </i>
    <i>
      <x v="76"/>
    </i>
    <i>
      <x v="78"/>
    </i>
    <i>
      <x v="119"/>
    </i>
    <i>
      <x v="152"/>
    </i>
    <i>
      <x v="89"/>
    </i>
    <i>
      <x v="156"/>
    </i>
    <i>
      <x v="121"/>
    </i>
    <i>
      <x v="81"/>
    </i>
    <i>
      <x v="1"/>
    </i>
    <i>
      <x v="164"/>
    </i>
    <i>
      <x v="7"/>
    </i>
    <i>
      <x v="67"/>
    </i>
    <i>
      <x v="71"/>
    </i>
    <i>
      <x v="70"/>
    </i>
    <i>
      <x v="125"/>
    </i>
    <i>
      <x v="176"/>
    </i>
    <i>
      <x v="126"/>
    </i>
    <i>
      <x v="145"/>
    </i>
    <i>
      <x v="33"/>
    </i>
    <i>
      <x v="180"/>
    </i>
    <i>
      <x v="128"/>
    </i>
    <i>
      <x v="51"/>
    </i>
    <i>
      <x v="129"/>
    </i>
    <i>
      <x v="40"/>
    </i>
    <i>
      <x v="5"/>
    </i>
    <i>
      <x v="153"/>
    </i>
    <i>
      <x v="93"/>
    </i>
    <i>
      <x v="26"/>
    </i>
    <i>
      <x v="31"/>
    </i>
    <i>
      <x v="63"/>
    </i>
    <i>
      <x v="58"/>
    </i>
    <i>
      <x v="104"/>
    </i>
    <i>
      <x v="134"/>
    </i>
    <i>
      <x v="161"/>
    </i>
    <i>
      <x v="35"/>
    </i>
    <i>
      <x v="163"/>
    </i>
    <i>
      <x v="14"/>
    </i>
    <i>
      <x v="106"/>
    </i>
    <i>
      <x v="137"/>
    </i>
    <i>
      <x v="66"/>
    </i>
    <i>
      <x v="60"/>
    </i>
    <i>
      <x v="68"/>
    </i>
    <i>
      <x v="139"/>
    </i>
    <i>
      <x v="69"/>
    </i>
    <i>
      <x v="96"/>
    </i>
    <i>
      <x v="108"/>
    </i>
    <i>
      <x v="97"/>
    </i>
    <i>
      <x v="175"/>
    </i>
    <i>
      <x v="15"/>
    </i>
    <i>
      <x v="82"/>
    </i>
    <i>
      <x v="143"/>
    </i>
    <i>
      <x v="74"/>
    </i>
    <i>
      <x v="144"/>
    </i>
    <i>
      <x v="181"/>
    </i>
    <i>
      <x v="99"/>
    </i>
    <i>
      <x v="100"/>
    </i>
    <i>
      <x/>
    </i>
    <i>
      <x v="91"/>
    </i>
    <i t="grand">
      <x/>
    </i>
  </rowItems>
  <colItems count="1">
    <i/>
  </colItems>
  <dataFields count="1">
    <dataField name="Count of titl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F29507-4F2C-3D46-AC41-A58F56A51DA7}" name="PivotTable6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Year">
  <location ref="U2:V13" firstHeaderRow="1" firstDataRow="1" firstDataCol="1"/>
  <pivotFields count="9">
    <pivotField showAll="0"/>
    <pivotField showAll="0"/>
    <pivotField showAll="0"/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h="1" x="10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Average of tempo_bpm" fld="7" subtotal="average" baseField="0" baseItem="0" numFmtId="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98A788-C2B3-A545-ACA3-7CF56C9E3411}" name="PivotTable4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Year">
  <location ref="L2:M13" firstHeaderRow="1" firstDataRow="1" firstDataCol="1"/>
  <pivotFields count="9">
    <pivotField showAll="0"/>
    <pivotField showAll="0"/>
    <pivotField showAll="0"/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h="1" x="1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Average of popularity" fld="8" subtotal="average" baseField="0" baseItem="0" numFmtId="2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4B06E0-BC4B-4341-8842-A88861FA801A}" name="PivotTable9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Genre">
  <location ref="AF3:AG54" firstHeaderRow="1" firstDataRow="1" firstDataCol="1"/>
  <pivotFields count="9">
    <pivotField showAll="0"/>
    <pivotField showAll="0"/>
    <pivotField axis="axisRow" showAll="0">
      <items count="52">
        <item x="15"/>
        <item x="22"/>
        <item x="48"/>
        <item x="5"/>
        <item x="11"/>
        <item x="30"/>
        <item x="27"/>
        <item x="1"/>
        <item x="9"/>
        <item x="17"/>
        <item x="35"/>
        <item x="7"/>
        <item x="18"/>
        <item x="13"/>
        <item x="46"/>
        <item x="32"/>
        <item x="20"/>
        <item x="40"/>
        <item x="6"/>
        <item x="21"/>
        <item x="23"/>
        <item x="14"/>
        <item x="10"/>
        <item x="24"/>
        <item x="45"/>
        <item x="0"/>
        <item x="39"/>
        <item x="4"/>
        <item x="42"/>
        <item x="44"/>
        <item x="19"/>
        <item x="41"/>
        <item x="43"/>
        <item x="31"/>
        <item x="49"/>
        <item x="29"/>
        <item x="34"/>
        <item x="37"/>
        <item x="2"/>
        <item x="28"/>
        <item x="26"/>
        <item x="8"/>
        <item x="33"/>
        <item x="38"/>
        <item x="25"/>
        <item x="47"/>
        <item x="12"/>
        <item x="16"/>
        <item x="3"/>
        <item x="36"/>
        <item h="1" x="50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51">
    <i>
      <x v="36"/>
    </i>
    <i>
      <x v="31"/>
    </i>
    <i>
      <x v="41"/>
    </i>
    <i>
      <x v="20"/>
    </i>
    <i>
      <x v="19"/>
    </i>
    <i>
      <x v="22"/>
    </i>
    <i>
      <x v="4"/>
    </i>
    <i>
      <x v="39"/>
    </i>
    <i>
      <x v="43"/>
    </i>
    <i>
      <x v="12"/>
    </i>
    <i>
      <x v="23"/>
    </i>
    <i>
      <x v="14"/>
    </i>
    <i>
      <x v="11"/>
    </i>
    <i>
      <x v="45"/>
    </i>
    <i>
      <x v="32"/>
    </i>
    <i>
      <x v="34"/>
    </i>
    <i>
      <x v="7"/>
    </i>
    <i>
      <x v="49"/>
    </i>
    <i>
      <x v="30"/>
    </i>
    <i>
      <x v="40"/>
    </i>
    <i>
      <x v="25"/>
    </i>
    <i>
      <x v="5"/>
    </i>
    <i>
      <x v="6"/>
    </i>
    <i>
      <x v="44"/>
    </i>
    <i>
      <x v="21"/>
    </i>
    <i>
      <x v="9"/>
    </i>
    <i>
      <x v="27"/>
    </i>
    <i>
      <x v="8"/>
    </i>
    <i>
      <x v="48"/>
    </i>
    <i>
      <x v="18"/>
    </i>
    <i>
      <x v="10"/>
    </i>
    <i>
      <x v="42"/>
    </i>
    <i>
      <x v="37"/>
    </i>
    <i>
      <x v="33"/>
    </i>
    <i>
      <x v="47"/>
    </i>
    <i>
      <x v="15"/>
    </i>
    <i>
      <x v="29"/>
    </i>
    <i>
      <x/>
    </i>
    <i>
      <x v="38"/>
    </i>
    <i>
      <x v="3"/>
    </i>
    <i>
      <x v="24"/>
    </i>
    <i>
      <x v="28"/>
    </i>
    <i>
      <x v="16"/>
    </i>
    <i>
      <x v="13"/>
    </i>
    <i>
      <x v="26"/>
    </i>
    <i>
      <x v="17"/>
    </i>
    <i>
      <x v="46"/>
    </i>
    <i>
      <x v="2"/>
    </i>
    <i>
      <x v="35"/>
    </i>
    <i>
      <x v="1"/>
    </i>
    <i t="grand">
      <x/>
    </i>
  </rowItems>
  <colItems count="1">
    <i/>
  </colItems>
  <dataFields count="1">
    <dataField name="Average of energy" fld="6" subtotal="average" baseField="0" baseItem="0" numFmtId="2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912D4-F0D1-A246-A9FF-AD515B6F22CD}">
  <dimension ref="A1:I21"/>
  <sheetViews>
    <sheetView zoomScale="116" zoomScaleNormal="100" workbookViewId="0"/>
  </sheetViews>
  <sheetFormatPr baseColWidth="10" defaultColWidth="11" defaultRowHeight="16" x14ac:dyDescent="0.2"/>
  <cols>
    <col min="1" max="1" width="5.1640625" bestFit="1" customWidth="1"/>
    <col min="2" max="2" width="42.83203125" customWidth="1"/>
    <col min="3" max="3" width="16" bestFit="1" customWidth="1"/>
    <col min="4" max="4" width="10.83203125" style="3"/>
    <col min="7" max="7" width="31" bestFit="1" customWidth="1"/>
    <col min="8" max="8" width="16.1640625" style="3" customWidth="1"/>
    <col min="9" max="9" width="9" style="3" customWidth="1"/>
  </cols>
  <sheetData>
    <row r="1" spans="1:9" ht="16" customHeight="1" x14ac:dyDescent="0.2">
      <c r="A1" s="1" t="s">
        <v>0</v>
      </c>
      <c r="B1" s="1" t="s">
        <v>1</v>
      </c>
      <c r="C1" s="1" t="s">
        <v>2</v>
      </c>
      <c r="D1" s="4" t="s">
        <v>3</v>
      </c>
      <c r="G1" s="9" t="s">
        <v>4</v>
      </c>
      <c r="H1" s="9"/>
      <c r="I1" s="9"/>
    </row>
    <row r="2" spans="1:9" x14ac:dyDescent="0.2">
      <c r="A2">
        <f>ROW()-1</f>
        <v>1</v>
      </c>
      <c r="B2" t="s">
        <v>5</v>
      </c>
      <c r="C2" t="s">
        <v>6</v>
      </c>
      <c r="D2" s="3">
        <v>2.7083333333333334E-3</v>
      </c>
      <c r="G2" s="3"/>
    </row>
    <row r="3" spans="1:9" x14ac:dyDescent="0.2">
      <c r="A3">
        <f t="shared" ref="A3:A21" si="0">ROW()-1</f>
        <v>2</v>
      </c>
      <c r="B3" t="s">
        <v>7</v>
      </c>
      <c r="C3" t="s">
        <v>8</v>
      </c>
      <c r="D3" s="3">
        <v>2.1296296296296298E-3</v>
      </c>
    </row>
    <row r="4" spans="1:9" x14ac:dyDescent="0.2">
      <c r="A4">
        <f t="shared" si="0"/>
        <v>3</v>
      </c>
      <c r="B4" t="s">
        <v>9</v>
      </c>
      <c r="C4" t="s">
        <v>10</v>
      </c>
      <c r="D4" s="3">
        <v>2.8124999999999999E-3</v>
      </c>
    </row>
    <row r="5" spans="1:9" x14ac:dyDescent="0.2">
      <c r="A5">
        <f t="shared" si="0"/>
        <v>4</v>
      </c>
      <c r="B5" t="s">
        <v>11</v>
      </c>
      <c r="C5" t="s">
        <v>12</v>
      </c>
      <c r="D5" s="3">
        <v>3.0208333333333333E-3</v>
      </c>
    </row>
    <row r="6" spans="1:9" x14ac:dyDescent="0.2">
      <c r="A6">
        <f t="shared" si="0"/>
        <v>5</v>
      </c>
      <c r="B6" t="s">
        <v>13</v>
      </c>
      <c r="C6" t="s">
        <v>14</v>
      </c>
      <c r="D6" s="3">
        <v>2.650462962962963E-3</v>
      </c>
    </row>
    <row r="7" spans="1:9" x14ac:dyDescent="0.2">
      <c r="A7">
        <f t="shared" si="0"/>
        <v>6</v>
      </c>
      <c r="B7" t="s">
        <v>15</v>
      </c>
      <c r="C7" t="s">
        <v>16</v>
      </c>
      <c r="D7" s="3">
        <v>2.4189814814814816E-3</v>
      </c>
    </row>
    <row r="8" spans="1:9" x14ac:dyDescent="0.2">
      <c r="A8">
        <f t="shared" si="0"/>
        <v>7</v>
      </c>
      <c r="B8" t="s">
        <v>17</v>
      </c>
      <c r="C8" t="s">
        <v>18</v>
      </c>
      <c r="D8" s="3">
        <v>2.8356481481481483E-3</v>
      </c>
    </row>
    <row r="9" spans="1:9" x14ac:dyDescent="0.2">
      <c r="A9">
        <f t="shared" si="0"/>
        <v>8</v>
      </c>
      <c r="B9" t="s">
        <v>19</v>
      </c>
      <c r="C9" t="s">
        <v>20</v>
      </c>
      <c r="D9" s="3">
        <v>2.3842592592592591E-3</v>
      </c>
    </row>
    <row r="10" spans="1:9" x14ac:dyDescent="0.2">
      <c r="A10">
        <f t="shared" si="0"/>
        <v>9</v>
      </c>
      <c r="B10" s="5" t="s">
        <v>21</v>
      </c>
      <c r="C10" t="s">
        <v>22</v>
      </c>
      <c r="D10" s="3">
        <v>2.9050925925925928E-3</v>
      </c>
    </row>
    <row r="11" spans="1:9" x14ac:dyDescent="0.2">
      <c r="A11">
        <f t="shared" si="0"/>
        <v>10</v>
      </c>
      <c r="B11" t="s">
        <v>23</v>
      </c>
      <c r="C11" t="s">
        <v>24</v>
      </c>
      <c r="D11" s="3">
        <v>2.5115740740740741E-3</v>
      </c>
    </row>
    <row r="12" spans="1:9" x14ac:dyDescent="0.2">
      <c r="A12">
        <f t="shared" si="0"/>
        <v>11</v>
      </c>
      <c r="B12" t="s">
        <v>25</v>
      </c>
      <c r="C12" t="s">
        <v>26</v>
      </c>
      <c r="D12" s="3">
        <v>2.488425925925926E-3</v>
      </c>
    </row>
    <row r="13" spans="1:9" x14ac:dyDescent="0.2">
      <c r="A13">
        <f t="shared" si="0"/>
        <v>12</v>
      </c>
      <c r="B13" t="s">
        <v>27</v>
      </c>
      <c r="C13" t="s">
        <v>28</v>
      </c>
      <c r="D13" s="3">
        <v>2.3611111111111111E-3</v>
      </c>
    </row>
    <row r="14" spans="1:9" x14ac:dyDescent="0.2">
      <c r="A14">
        <f t="shared" si="0"/>
        <v>13</v>
      </c>
      <c r="B14" t="s">
        <v>29</v>
      </c>
      <c r="C14" t="s">
        <v>30</v>
      </c>
      <c r="D14" s="3">
        <v>2.0949074074074073E-3</v>
      </c>
    </row>
    <row r="15" spans="1:9" x14ac:dyDescent="0.2">
      <c r="A15">
        <f t="shared" si="0"/>
        <v>14</v>
      </c>
      <c r="B15" t="s">
        <v>31</v>
      </c>
      <c r="C15" t="s">
        <v>32</v>
      </c>
      <c r="D15" s="3">
        <v>3.9467592592592592E-3</v>
      </c>
    </row>
    <row r="16" spans="1:9" x14ac:dyDescent="0.2">
      <c r="A16">
        <f t="shared" si="0"/>
        <v>15</v>
      </c>
      <c r="B16" t="s">
        <v>33</v>
      </c>
      <c r="C16" t="s">
        <v>34</v>
      </c>
      <c r="D16" s="3">
        <v>2.3148148148148147E-3</v>
      </c>
    </row>
    <row r="17" spans="1:4" x14ac:dyDescent="0.2">
      <c r="A17">
        <f t="shared" si="0"/>
        <v>16</v>
      </c>
      <c r="B17" t="s">
        <v>35</v>
      </c>
      <c r="C17" t="s">
        <v>36</v>
      </c>
      <c r="D17" s="3">
        <v>2.5578703703703705E-3</v>
      </c>
    </row>
    <row r="18" spans="1:4" x14ac:dyDescent="0.2">
      <c r="A18">
        <f t="shared" si="0"/>
        <v>17</v>
      </c>
      <c r="B18" t="s">
        <v>37</v>
      </c>
      <c r="C18" t="s">
        <v>16</v>
      </c>
      <c r="D18" s="3">
        <v>2.3032407407407407E-3</v>
      </c>
    </row>
    <row r="19" spans="1:4" x14ac:dyDescent="0.2">
      <c r="A19">
        <f t="shared" si="0"/>
        <v>18</v>
      </c>
      <c r="B19" t="s">
        <v>38</v>
      </c>
      <c r="C19" t="s">
        <v>6</v>
      </c>
      <c r="D19" s="3">
        <v>2.3611111111111111E-3</v>
      </c>
    </row>
    <row r="20" spans="1:4" x14ac:dyDescent="0.2">
      <c r="A20">
        <f t="shared" si="0"/>
        <v>19</v>
      </c>
      <c r="B20" t="s">
        <v>39</v>
      </c>
      <c r="C20" t="s">
        <v>6</v>
      </c>
      <c r="D20" s="3">
        <v>2.5462962962962965E-3</v>
      </c>
    </row>
    <row r="21" spans="1:4" x14ac:dyDescent="0.2">
      <c r="A21">
        <f t="shared" si="0"/>
        <v>20</v>
      </c>
      <c r="B21" t="s">
        <v>40</v>
      </c>
      <c r="C21" t="s">
        <v>41</v>
      </c>
      <c r="D21" s="3">
        <v>2.476851851851852E-3</v>
      </c>
    </row>
  </sheetData>
  <mergeCells count="1">
    <mergeCell ref="G1:I1"/>
  </mergeCells>
  <conditionalFormatting sqref="A2:D9 A10 C10:D10 A11:D21">
    <cfRule type="expression" dxfId="1" priority="4">
      <formula>MOD(ROW(),2)=0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C1DF3-DF71-6748-AB64-FA6845DBA6AD}">
  <dimension ref="A1:AG604"/>
  <sheetViews>
    <sheetView tabSelected="1" topLeftCell="A5" zoomScale="142" zoomScaleNormal="140" workbookViewId="0">
      <selection activeCell="O21" sqref="O21"/>
    </sheetView>
  </sheetViews>
  <sheetFormatPr baseColWidth="10" defaultColWidth="11" defaultRowHeight="16" outlineLevelRow="1" x14ac:dyDescent="0.2"/>
  <cols>
    <col min="1" max="1" width="47.6640625" customWidth="1"/>
    <col min="2" max="2" width="14.1640625" customWidth="1"/>
    <col min="3" max="3" width="15.33203125" customWidth="1"/>
    <col min="5" max="5" width="13.5" bestFit="1" customWidth="1"/>
    <col min="6" max="6" width="12.33203125" bestFit="1" customWidth="1"/>
    <col min="7" max="7" width="9.1640625" bestFit="1" customWidth="1"/>
    <col min="8" max="8" width="13.6640625" bestFit="1" customWidth="1"/>
    <col min="9" max="9" width="11.83203125" bestFit="1" customWidth="1"/>
    <col min="12" max="12" width="24" bestFit="1" customWidth="1"/>
    <col min="13" max="13" width="12.5" bestFit="1" customWidth="1"/>
    <col min="15" max="15" width="10.83203125" bestFit="1" customWidth="1"/>
    <col min="16" max="16" width="19.6640625" bestFit="1" customWidth="1"/>
    <col min="17" max="17" width="16.5" bestFit="1" customWidth="1"/>
    <col min="18" max="18" width="11.1640625" bestFit="1" customWidth="1"/>
    <col min="21" max="21" width="14.33203125" bestFit="1" customWidth="1"/>
    <col min="22" max="22" width="21.33203125" bestFit="1" customWidth="1"/>
    <col min="32" max="32" width="25" bestFit="1" customWidth="1"/>
    <col min="33" max="33" width="17.5" bestFit="1" customWidth="1"/>
  </cols>
  <sheetData>
    <row r="1" spans="1:33" x14ac:dyDescent="0.2">
      <c r="A1" s="1" t="s">
        <v>1</v>
      </c>
      <c r="B1" s="1" t="s">
        <v>2</v>
      </c>
      <c r="C1" s="1" t="s">
        <v>42</v>
      </c>
      <c r="D1" s="1" t="s">
        <v>43</v>
      </c>
      <c r="E1" s="1" t="s">
        <v>44</v>
      </c>
      <c r="F1" s="1" t="s">
        <v>45</v>
      </c>
      <c r="G1" s="1" t="s">
        <v>46</v>
      </c>
      <c r="H1" s="1" t="s">
        <v>47</v>
      </c>
      <c r="I1" s="1" t="s">
        <v>48</v>
      </c>
      <c r="J1" s="1" t="s">
        <v>837</v>
      </c>
    </row>
    <row r="2" spans="1:33" outlineLevel="1" x14ac:dyDescent="0.2">
      <c r="A2" t="s">
        <v>734</v>
      </c>
      <c r="B2" t="s">
        <v>671</v>
      </c>
      <c r="C2" t="s">
        <v>63</v>
      </c>
      <c r="D2">
        <v>2018</v>
      </c>
      <c r="E2">
        <v>0.97</v>
      </c>
      <c r="F2">
        <v>264</v>
      </c>
      <c r="G2">
        <v>0.59</v>
      </c>
      <c r="H2">
        <v>130</v>
      </c>
      <c r="I2">
        <v>45</v>
      </c>
      <c r="J2" s="10" t="str">
        <f>IF(H2&lt;100,"Slow","Fast")</f>
        <v>Fast</v>
      </c>
      <c r="L2" s="6" t="s">
        <v>831</v>
      </c>
      <c r="M2" t="s">
        <v>830</v>
      </c>
      <c r="U2" s="6" t="s">
        <v>831</v>
      </c>
      <c r="V2" t="s">
        <v>832</v>
      </c>
    </row>
    <row r="3" spans="1:33" outlineLevel="1" x14ac:dyDescent="0.2">
      <c r="A3" t="s">
        <v>778</v>
      </c>
      <c r="B3" t="s">
        <v>343</v>
      </c>
      <c r="C3" t="s">
        <v>51</v>
      </c>
      <c r="D3">
        <v>2018</v>
      </c>
      <c r="E3">
        <v>0.97</v>
      </c>
      <c r="F3">
        <v>215</v>
      </c>
      <c r="G3">
        <v>0.41</v>
      </c>
      <c r="H3">
        <v>121</v>
      </c>
      <c r="I3">
        <v>75</v>
      </c>
      <c r="J3" s="10" t="str">
        <f t="shared" ref="J3:J66" si="0">IF(H3&lt;100,"Slow","Fast")</f>
        <v>Fast</v>
      </c>
      <c r="L3" s="7">
        <v>2010</v>
      </c>
      <c r="M3" s="8">
        <v>64.254901960784309</v>
      </c>
      <c r="U3" s="7">
        <v>2010</v>
      </c>
      <c r="V3" s="8">
        <v>122.05882352941177</v>
      </c>
      <c r="AF3" s="6" t="s">
        <v>835</v>
      </c>
      <c r="AG3" t="s">
        <v>836</v>
      </c>
    </row>
    <row r="4" spans="1:33" outlineLevel="1" x14ac:dyDescent="0.2">
      <c r="A4" t="s">
        <v>419</v>
      </c>
      <c r="B4" t="s">
        <v>190</v>
      </c>
      <c r="C4" t="s">
        <v>51</v>
      </c>
      <c r="D4">
        <v>2014</v>
      </c>
      <c r="E4">
        <v>0.96</v>
      </c>
      <c r="F4">
        <v>260</v>
      </c>
      <c r="G4">
        <v>0.6</v>
      </c>
      <c r="H4">
        <v>130</v>
      </c>
      <c r="I4">
        <v>50</v>
      </c>
      <c r="J4" s="10" t="str">
        <f t="shared" si="0"/>
        <v>Fast</v>
      </c>
      <c r="L4" s="7">
        <v>2011</v>
      </c>
      <c r="M4" s="8">
        <v>61.867924528301884</v>
      </c>
      <c r="U4" s="7">
        <v>2011</v>
      </c>
      <c r="V4" s="8">
        <v>119.0754716981132</v>
      </c>
      <c r="AF4" s="7" t="s">
        <v>503</v>
      </c>
      <c r="AG4" s="8">
        <v>0.89</v>
      </c>
    </row>
    <row r="5" spans="1:33" outlineLevel="1" x14ac:dyDescent="0.2">
      <c r="A5" t="s">
        <v>426</v>
      </c>
      <c r="B5" t="s">
        <v>425</v>
      </c>
      <c r="C5" t="s">
        <v>51</v>
      </c>
      <c r="D5">
        <v>2014</v>
      </c>
      <c r="E5">
        <v>0.93</v>
      </c>
      <c r="F5">
        <v>202</v>
      </c>
      <c r="G5">
        <v>0.8</v>
      </c>
      <c r="H5">
        <v>120</v>
      </c>
      <c r="I5">
        <v>59</v>
      </c>
      <c r="J5" s="10" t="str">
        <f t="shared" si="0"/>
        <v>Fast</v>
      </c>
      <c r="L5" s="7">
        <v>2012</v>
      </c>
      <c r="M5" s="8">
        <v>67.771428571428572</v>
      </c>
      <c r="U5" s="7">
        <v>2012</v>
      </c>
      <c r="V5" s="8">
        <v>121.08571428571429</v>
      </c>
      <c r="AF5" s="7" t="s">
        <v>661</v>
      </c>
      <c r="AG5" s="8">
        <v>0.88</v>
      </c>
    </row>
    <row r="6" spans="1:33" outlineLevel="1" x14ac:dyDescent="0.2">
      <c r="A6" t="s">
        <v>622</v>
      </c>
      <c r="B6" t="s">
        <v>517</v>
      </c>
      <c r="C6" t="s">
        <v>51</v>
      </c>
      <c r="D6">
        <v>2016</v>
      </c>
      <c r="E6">
        <v>0.93</v>
      </c>
      <c r="F6">
        <v>181</v>
      </c>
      <c r="G6">
        <v>0.69</v>
      </c>
      <c r="H6">
        <v>124</v>
      </c>
      <c r="I6">
        <v>73</v>
      </c>
      <c r="J6" s="10" t="str">
        <f t="shared" si="0"/>
        <v>Fast</v>
      </c>
      <c r="L6" s="7">
        <v>2013</v>
      </c>
      <c r="M6" s="8">
        <v>63.985915492957744</v>
      </c>
      <c r="U6" s="7">
        <v>2013</v>
      </c>
      <c r="V6" s="8">
        <v>121.67605633802818</v>
      </c>
      <c r="AF6" s="7" t="s">
        <v>106</v>
      </c>
      <c r="AG6" s="8">
        <v>0.875</v>
      </c>
    </row>
    <row r="7" spans="1:33" outlineLevel="1" x14ac:dyDescent="0.2">
      <c r="A7" t="s">
        <v>626</v>
      </c>
      <c r="B7" t="s">
        <v>627</v>
      </c>
      <c r="C7" t="s">
        <v>51</v>
      </c>
      <c r="D7">
        <v>2016</v>
      </c>
      <c r="E7">
        <v>0.93</v>
      </c>
      <c r="F7">
        <v>193</v>
      </c>
      <c r="G7">
        <v>0.82</v>
      </c>
      <c r="H7">
        <v>120</v>
      </c>
      <c r="I7">
        <v>58</v>
      </c>
      <c r="J7" s="10" t="str">
        <f t="shared" si="0"/>
        <v>Fast</v>
      </c>
      <c r="L7" s="7">
        <v>2014</v>
      </c>
      <c r="M7" s="8">
        <v>62.706896551724135</v>
      </c>
      <c r="U7" s="7">
        <v>2014</v>
      </c>
      <c r="V7" s="8">
        <v>123</v>
      </c>
      <c r="AF7" s="7" t="s">
        <v>348</v>
      </c>
      <c r="AG7" s="8">
        <v>0.87</v>
      </c>
    </row>
    <row r="8" spans="1:33" outlineLevel="1" x14ac:dyDescent="0.2">
      <c r="A8" t="s">
        <v>670</v>
      </c>
      <c r="B8" t="s">
        <v>671</v>
      </c>
      <c r="C8" t="s">
        <v>63</v>
      </c>
      <c r="D8">
        <v>2017</v>
      </c>
      <c r="E8">
        <v>0.93</v>
      </c>
      <c r="F8">
        <v>224</v>
      </c>
      <c r="G8">
        <v>0.72</v>
      </c>
      <c r="H8">
        <v>125</v>
      </c>
      <c r="I8">
        <v>70</v>
      </c>
      <c r="J8" s="10" t="str">
        <f t="shared" si="0"/>
        <v>Fast</v>
      </c>
      <c r="L8" s="7">
        <v>2015</v>
      </c>
      <c r="M8" s="8">
        <v>64.568421052631578</v>
      </c>
      <c r="U8" s="7">
        <v>2015</v>
      </c>
      <c r="V8" s="8">
        <v>119.76842105263158</v>
      </c>
      <c r="AF8" s="7" t="s">
        <v>287</v>
      </c>
      <c r="AG8" s="8">
        <v>0.8600000000000001</v>
      </c>
    </row>
    <row r="9" spans="1:33" outlineLevel="1" x14ac:dyDescent="0.2">
      <c r="A9" t="s">
        <v>766</v>
      </c>
      <c r="B9" t="s">
        <v>767</v>
      </c>
      <c r="C9" t="s">
        <v>559</v>
      </c>
      <c r="D9">
        <v>2018</v>
      </c>
      <c r="E9">
        <v>0.92</v>
      </c>
      <c r="F9">
        <v>220</v>
      </c>
      <c r="G9">
        <v>0.73</v>
      </c>
      <c r="H9">
        <v>95</v>
      </c>
      <c r="I9">
        <v>68</v>
      </c>
      <c r="J9" s="10" t="str">
        <f t="shared" si="0"/>
        <v>Slow</v>
      </c>
      <c r="L9" s="7">
        <v>2016</v>
      </c>
      <c r="M9" s="8">
        <v>64.162499999999994</v>
      </c>
      <c r="U9" s="7">
        <v>2016</v>
      </c>
      <c r="V9" s="8">
        <v>114.325</v>
      </c>
      <c r="AF9" s="7" t="s">
        <v>120</v>
      </c>
      <c r="AG9" s="8">
        <v>0.83333333333333337</v>
      </c>
    </row>
    <row r="10" spans="1:33" outlineLevel="1" x14ac:dyDescent="0.2">
      <c r="A10" t="s">
        <v>389</v>
      </c>
      <c r="B10" t="s">
        <v>390</v>
      </c>
      <c r="C10" t="s">
        <v>391</v>
      </c>
      <c r="D10">
        <v>2014</v>
      </c>
      <c r="E10">
        <v>0.91</v>
      </c>
      <c r="F10">
        <v>200</v>
      </c>
      <c r="G10">
        <v>0.72</v>
      </c>
      <c r="H10">
        <v>95</v>
      </c>
      <c r="I10">
        <v>70</v>
      </c>
      <c r="J10" s="10" t="str">
        <f t="shared" si="0"/>
        <v>Slow</v>
      </c>
      <c r="L10" s="7">
        <v>2017</v>
      </c>
      <c r="M10" s="8">
        <v>69.015384615384619</v>
      </c>
      <c r="U10" s="7">
        <v>2017</v>
      </c>
      <c r="V10" s="8">
        <v>116.8</v>
      </c>
      <c r="AF10" s="7" t="s">
        <v>123</v>
      </c>
      <c r="AG10" s="8">
        <v>0.82199999999999984</v>
      </c>
    </row>
    <row r="11" spans="1:33" outlineLevel="1" x14ac:dyDescent="0.2">
      <c r="A11" t="s">
        <v>482</v>
      </c>
      <c r="B11" t="s">
        <v>483</v>
      </c>
      <c r="C11" t="s">
        <v>51</v>
      </c>
      <c r="D11">
        <v>2015</v>
      </c>
      <c r="E11">
        <v>0.9</v>
      </c>
      <c r="F11">
        <v>255</v>
      </c>
      <c r="G11">
        <v>0.53</v>
      </c>
      <c r="H11">
        <v>109</v>
      </c>
      <c r="I11">
        <v>18</v>
      </c>
      <c r="J11" s="10" t="str">
        <f t="shared" si="0"/>
        <v>Fast</v>
      </c>
      <c r="L11" s="7">
        <v>2018</v>
      </c>
      <c r="M11" s="8">
        <v>72.4375</v>
      </c>
      <c r="U11" s="7">
        <v>2018</v>
      </c>
      <c r="V11" s="8">
        <v>114.59375</v>
      </c>
      <c r="AF11" s="7" t="s">
        <v>407</v>
      </c>
      <c r="AG11" s="8">
        <v>0.82</v>
      </c>
    </row>
    <row r="12" spans="1:33" outlineLevel="1" x14ac:dyDescent="0.2">
      <c r="A12" t="s">
        <v>803</v>
      </c>
      <c r="B12" t="s">
        <v>804</v>
      </c>
      <c r="C12" t="s">
        <v>805</v>
      </c>
      <c r="D12">
        <v>2019</v>
      </c>
      <c r="E12">
        <v>0.9</v>
      </c>
      <c r="F12">
        <v>198</v>
      </c>
      <c r="G12">
        <v>0.4</v>
      </c>
      <c r="H12">
        <v>136</v>
      </c>
      <c r="I12">
        <v>84</v>
      </c>
      <c r="J12" s="10" t="str">
        <f t="shared" si="0"/>
        <v>Fast</v>
      </c>
      <c r="L12" s="7">
        <v>2019</v>
      </c>
      <c r="M12" s="8">
        <v>84.354838709677423</v>
      </c>
      <c r="U12" s="7">
        <v>2019</v>
      </c>
      <c r="V12" s="8">
        <v>112.45161290322581</v>
      </c>
      <c r="AF12" s="7" t="s">
        <v>605</v>
      </c>
      <c r="AG12" s="8">
        <v>0.80499999999999994</v>
      </c>
    </row>
    <row r="13" spans="1:33" outlineLevel="1" x14ac:dyDescent="0.2">
      <c r="A13" t="s">
        <v>467</v>
      </c>
      <c r="B13" t="s">
        <v>468</v>
      </c>
      <c r="C13" t="s">
        <v>51</v>
      </c>
      <c r="D13">
        <v>2015</v>
      </c>
      <c r="E13">
        <v>0.88</v>
      </c>
      <c r="F13">
        <v>225</v>
      </c>
      <c r="G13">
        <v>0.77</v>
      </c>
      <c r="H13">
        <v>100</v>
      </c>
      <c r="I13">
        <v>75</v>
      </c>
      <c r="J13" s="10" t="str">
        <f t="shared" si="0"/>
        <v>Fast</v>
      </c>
      <c r="L13" s="7" t="s">
        <v>829</v>
      </c>
      <c r="M13" s="8">
        <v>66.520729684908787</v>
      </c>
      <c r="U13" s="7" t="s">
        <v>829</v>
      </c>
      <c r="V13" s="8">
        <v>118.54560530679933</v>
      </c>
      <c r="AF13" s="7" t="s">
        <v>237</v>
      </c>
      <c r="AG13" s="8">
        <v>0.80266666666666675</v>
      </c>
    </row>
    <row r="14" spans="1:33" outlineLevel="1" x14ac:dyDescent="0.2">
      <c r="A14" t="s">
        <v>474</v>
      </c>
      <c r="B14" t="s">
        <v>473</v>
      </c>
      <c r="C14" t="s">
        <v>51</v>
      </c>
      <c r="D14">
        <v>2015</v>
      </c>
      <c r="E14">
        <v>0.88</v>
      </c>
      <c r="F14">
        <v>202</v>
      </c>
      <c r="G14">
        <v>0.8</v>
      </c>
      <c r="H14">
        <v>120</v>
      </c>
      <c r="I14">
        <v>39</v>
      </c>
      <c r="J14" s="10" t="str">
        <f t="shared" si="0"/>
        <v>Fast</v>
      </c>
      <c r="AF14" s="7" t="s">
        <v>355</v>
      </c>
      <c r="AG14" s="8">
        <v>0.78500000000000003</v>
      </c>
    </row>
    <row r="15" spans="1:33" outlineLevel="1" x14ac:dyDescent="0.2">
      <c r="A15" t="s">
        <v>375</v>
      </c>
      <c r="B15" t="s">
        <v>24</v>
      </c>
      <c r="C15" t="s">
        <v>63</v>
      </c>
      <c r="D15">
        <v>2014</v>
      </c>
      <c r="E15">
        <v>0.87</v>
      </c>
      <c r="F15">
        <v>179</v>
      </c>
      <c r="G15">
        <v>0.69</v>
      </c>
      <c r="H15">
        <v>116</v>
      </c>
      <c r="I15">
        <v>77</v>
      </c>
      <c r="J15" s="10" t="str">
        <f t="shared" si="0"/>
        <v>Fast</v>
      </c>
      <c r="AF15" s="7" t="s">
        <v>765</v>
      </c>
      <c r="AG15" s="8">
        <v>0.77500000000000002</v>
      </c>
    </row>
    <row r="16" spans="1:33" outlineLevel="1" x14ac:dyDescent="0.2">
      <c r="A16" t="s">
        <v>701</v>
      </c>
      <c r="B16" t="s">
        <v>702</v>
      </c>
      <c r="C16" t="s">
        <v>51</v>
      </c>
      <c r="D16">
        <v>2017</v>
      </c>
      <c r="E16">
        <v>0.87</v>
      </c>
      <c r="F16">
        <v>202</v>
      </c>
      <c r="G16">
        <v>0.5</v>
      </c>
      <c r="H16">
        <v>106</v>
      </c>
      <c r="I16">
        <v>69</v>
      </c>
      <c r="J16" s="10" t="str">
        <f t="shared" si="0"/>
        <v>Fast</v>
      </c>
      <c r="AF16" s="7" t="s">
        <v>101</v>
      </c>
      <c r="AG16" s="8">
        <v>0.77200000000000002</v>
      </c>
    </row>
    <row r="17" spans="1:33" outlineLevel="1" x14ac:dyDescent="0.2">
      <c r="A17" t="s">
        <v>37</v>
      </c>
      <c r="B17" t="s">
        <v>16</v>
      </c>
      <c r="C17" t="s">
        <v>86</v>
      </c>
      <c r="D17">
        <v>2018</v>
      </c>
      <c r="E17">
        <v>0.87</v>
      </c>
      <c r="F17">
        <v>199</v>
      </c>
      <c r="G17">
        <v>0.81</v>
      </c>
      <c r="H17">
        <v>122</v>
      </c>
      <c r="I17">
        <v>84</v>
      </c>
      <c r="J17" s="10" t="str">
        <f t="shared" si="0"/>
        <v>Fast</v>
      </c>
      <c r="L17" s="6" t="s">
        <v>834</v>
      </c>
      <c r="M17" t="s">
        <v>833</v>
      </c>
      <c r="O17" s="6" t="s">
        <v>835</v>
      </c>
      <c r="P17" t="s">
        <v>830</v>
      </c>
      <c r="AF17" s="7" t="s">
        <v>773</v>
      </c>
      <c r="AG17" s="8">
        <v>0.76</v>
      </c>
    </row>
    <row r="18" spans="1:33" outlineLevel="1" x14ac:dyDescent="0.2">
      <c r="A18" t="s">
        <v>247</v>
      </c>
      <c r="B18" t="s">
        <v>117</v>
      </c>
      <c r="C18" t="s">
        <v>51</v>
      </c>
      <c r="D18">
        <v>2012</v>
      </c>
      <c r="E18">
        <v>0.86</v>
      </c>
      <c r="F18">
        <v>188</v>
      </c>
      <c r="G18">
        <v>0.68</v>
      </c>
      <c r="H18">
        <v>117</v>
      </c>
      <c r="I18">
        <v>76</v>
      </c>
      <c r="J18" s="10" t="str">
        <f t="shared" si="0"/>
        <v>Fast</v>
      </c>
      <c r="L18" s="7" t="s">
        <v>10</v>
      </c>
      <c r="M18">
        <v>17</v>
      </c>
      <c r="O18" s="7" t="s">
        <v>811</v>
      </c>
      <c r="P18" s="8">
        <v>90</v>
      </c>
      <c r="AF18" s="7" t="s">
        <v>684</v>
      </c>
      <c r="AG18" s="8">
        <v>0.76</v>
      </c>
    </row>
    <row r="19" spans="1:33" outlineLevel="1" x14ac:dyDescent="0.2">
      <c r="A19" t="s">
        <v>512</v>
      </c>
      <c r="B19" t="s">
        <v>513</v>
      </c>
      <c r="C19" t="s">
        <v>51</v>
      </c>
      <c r="D19">
        <v>2015</v>
      </c>
      <c r="E19">
        <v>0.86</v>
      </c>
      <c r="F19">
        <v>270</v>
      </c>
      <c r="G19">
        <v>0.61</v>
      </c>
      <c r="H19">
        <v>115</v>
      </c>
      <c r="I19">
        <v>82</v>
      </c>
      <c r="J19" s="10" t="str">
        <f t="shared" si="0"/>
        <v>Fast</v>
      </c>
      <c r="L19" s="7" t="s">
        <v>85</v>
      </c>
      <c r="M19">
        <v>16</v>
      </c>
      <c r="O19" s="7" t="s">
        <v>765</v>
      </c>
      <c r="P19" s="8">
        <v>86</v>
      </c>
      <c r="AF19" s="7" t="s">
        <v>811</v>
      </c>
      <c r="AG19" s="8">
        <v>0.755</v>
      </c>
    </row>
    <row r="20" spans="1:33" outlineLevel="1" x14ac:dyDescent="0.2">
      <c r="A20" t="s">
        <v>38</v>
      </c>
      <c r="B20" t="s">
        <v>6</v>
      </c>
      <c r="C20" t="s">
        <v>63</v>
      </c>
      <c r="D20">
        <v>2019</v>
      </c>
      <c r="E20">
        <v>0.86</v>
      </c>
      <c r="F20">
        <v>204</v>
      </c>
      <c r="G20">
        <v>0.62</v>
      </c>
      <c r="H20">
        <v>98</v>
      </c>
      <c r="I20">
        <v>92</v>
      </c>
      <c r="J20" s="10" t="str">
        <f t="shared" si="0"/>
        <v>Slow</v>
      </c>
      <c r="L20" s="7" t="s">
        <v>34</v>
      </c>
      <c r="M20">
        <v>15</v>
      </c>
      <c r="O20" s="7" t="s">
        <v>805</v>
      </c>
      <c r="P20" s="8">
        <v>84</v>
      </c>
      <c r="AF20" s="7" t="s">
        <v>54</v>
      </c>
      <c r="AG20" s="8">
        <v>0.74399999999999999</v>
      </c>
    </row>
    <row r="21" spans="1:33" outlineLevel="1" x14ac:dyDescent="0.2">
      <c r="A21" t="s">
        <v>313</v>
      </c>
      <c r="B21" t="s">
        <v>314</v>
      </c>
      <c r="C21" t="s">
        <v>51</v>
      </c>
      <c r="D21">
        <v>2013</v>
      </c>
      <c r="E21">
        <v>0.85</v>
      </c>
      <c r="F21">
        <v>224</v>
      </c>
      <c r="G21">
        <v>0.74</v>
      </c>
      <c r="H21">
        <v>121</v>
      </c>
      <c r="I21">
        <v>63</v>
      </c>
      <c r="J21" s="10" t="str">
        <f t="shared" si="0"/>
        <v>Fast</v>
      </c>
      <c r="L21" s="7" t="s">
        <v>111</v>
      </c>
      <c r="M21">
        <v>15</v>
      </c>
      <c r="O21" s="7" t="s">
        <v>479</v>
      </c>
      <c r="P21" s="8">
        <v>81</v>
      </c>
      <c r="AF21" s="7" t="s">
        <v>522</v>
      </c>
      <c r="AG21" s="8">
        <v>0.73666666666666669</v>
      </c>
    </row>
    <row r="22" spans="1:33" outlineLevel="1" x14ac:dyDescent="0.2">
      <c r="A22" t="s">
        <v>337</v>
      </c>
      <c r="B22" t="s">
        <v>338</v>
      </c>
      <c r="C22" t="s">
        <v>51</v>
      </c>
      <c r="D22">
        <v>2013</v>
      </c>
      <c r="E22">
        <v>0.85</v>
      </c>
      <c r="F22">
        <v>264</v>
      </c>
      <c r="G22">
        <v>0.6</v>
      </c>
      <c r="H22">
        <v>120</v>
      </c>
      <c r="I22">
        <v>76</v>
      </c>
      <c r="J22" s="10" t="str">
        <f t="shared" si="0"/>
        <v>Fast</v>
      </c>
      <c r="L22" s="7" t="s">
        <v>95</v>
      </c>
      <c r="M22">
        <v>14</v>
      </c>
      <c r="O22" s="7" t="s">
        <v>614</v>
      </c>
      <c r="P22" s="8">
        <v>80</v>
      </c>
      <c r="AF22" s="7" t="s">
        <v>269</v>
      </c>
      <c r="AG22" s="8">
        <v>0.7350000000000001</v>
      </c>
    </row>
    <row r="23" spans="1:33" outlineLevel="1" x14ac:dyDescent="0.2">
      <c r="A23" t="s">
        <v>475</v>
      </c>
      <c r="B23" t="s">
        <v>476</v>
      </c>
      <c r="C23" t="s">
        <v>51</v>
      </c>
      <c r="D23">
        <v>2015</v>
      </c>
      <c r="E23">
        <v>0.85</v>
      </c>
      <c r="F23">
        <v>186</v>
      </c>
      <c r="G23">
        <v>0.88</v>
      </c>
      <c r="H23">
        <v>122</v>
      </c>
      <c r="I23">
        <v>44</v>
      </c>
      <c r="J23" s="10" t="str">
        <f t="shared" si="0"/>
        <v>Fast</v>
      </c>
      <c r="L23" s="7" t="s">
        <v>24</v>
      </c>
      <c r="M23">
        <v>13</v>
      </c>
      <c r="O23" s="7" t="s">
        <v>348</v>
      </c>
      <c r="P23" s="8">
        <v>80</v>
      </c>
      <c r="AF23" s="7" t="s">
        <v>387</v>
      </c>
      <c r="AG23" s="8">
        <v>0.73</v>
      </c>
    </row>
    <row r="24" spans="1:33" outlineLevel="1" x14ac:dyDescent="0.2">
      <c r="A24" t="s">
        <v>491</v>
      </c>
      <c r="B24" t="s">
        <v>85</v>
      </c>
      <c r="C24" t="s">
        <v>86</v>
      </c>
      <c r="D24">
        <v>2015</v>
      </c>
      <c r="E24">
        <v>0.85</v>
      </c>
      <c r="F24">
        <v>206</v>
      </c>
      <c r="G24">
        <v>0.56999999999999995</v>
      </c>
      <c r="H24">
        <v>125</v>
      </c>
      <c r="I24">
        <v>79</v>
      </c>
      <c r="J24" s="10" t="str">
        <f t="shared" si="0"/>
        <v>Fast</v>
      </c>
      <c r="L24" s="7" t="s">
        <v>16</v>
      </c>
      <c r="M24">
        <v>11</v>
      </c>
      <c r="O24" s="7" t="s">
        <v>684</v>
      </c>
      <c r="P24" s="8">
        <v>79.5</v>
      </c>
      <c r="AF24" s="7" t="s">
        <v>51</v>
      </c>
      <c r="AG24" s="8">
        <v>0.72825688073394501</v>
      </c>
    </row>
    <row r="25" spans="1:33" outlineLevel="1" x14ac:dyDescent="0.2">
      <c r="A25" t="s">
        <v>664</v>
      </c>
      <c r="B25" t="s">
        <v>24</v>
      </c>
      <c r="C25" t="s">
        <v>63</v>
      </c>
      <c r="D25">
        <v>2017</v>
      </c>
      <c r="E25">
        <v>0.85</v>
      </c>
      <c r="F25">
        <v>207</v>
      </c>
      <c r="G25">
        <v>0.56000000000000005</v>
      </c>
      <c r="H25">
        <v>134</v>
      </c>
      <c r="I25">
        <v>83</v>
      </c>
      <c r="J25" s="10" t="str">
        <f t="shared" si="0"/>
        <v>Fast</v>
      </c>
      <c r="L25" s="7" t="s">
        <v>197</v>
      </c>
      <c r="M25">
        <v>11</v>
      </c>
      <c r="O25" s="7" t="s">
        <v>696</v>
      </c>
      <c r="P25" s="8">
        <v>78.2</v>
      </c>
      <c r="AF25" s="7" t="s">
        <v>434</v>
      </c>
      <c r="AG25" s="8">
        <v>0.72000000000000008</v>
      </c>
    </row>
    <row r="26" spans="1:33" outlineLevel="1" x14ac:dyDescent="0.2">
      <c r="A26" t="s">
        <v>818</v>
      </c>
      <c r="B26" t="s">
        <v>34</v>
      </c>
      <c r="C26" t="s">
        <v>63</v>
      </c>
      <c r="D26">
        <v>2019</v>
      </c>
      <c r="E26">
        <v>0.85</v>
      </c>
      <c r="F26">
        <v>236</v>
      </c>
      <c r="G26">
        <v>0.54</v>
      </c>
      <c r="H26">
        <v>125</v>
      </c>
      <c r="I26">
        <v>81</v>
      </c>
      <c r="J26" s="10" t="str">
        <f t="shared" si="0"/>
        <v>Fast</v>
      </c>
      <c r="L26" s="7" t="s">
        <v>6</v>
      </c>
      <c r="M26">
        <v>11</v>
      </c>
      <c r="O26" s="7" t="s">
        <v>441</v>
      </c>
      <c r="P26" s="8">
        <v>77.666666666666671</v>
      </c>
      <c r="AF26" s="7" t="s">
        <v>391</v>
      </c>
      <c r="AG26" s="8">
        <v>0.72</v>
      </c>
    </row>
    <row r="27" spans="1:33" outlineLevel="1" x14ac:dyDescent="0.2">
      <c r="A27" t="s">
        <v>9</v>
      </c>
      <c r="B27" t="s">
        <v>10</v>
      </c>
      <c r="C27" t="s">
        <v>51</v>
      </c>
      <c r="D27">
        <v>2017</v>
      </c>
      <c r="E27">
        <v>0.84</v>
      </c>
      <c r="F27">
        <v>243</v>
      </c>
      <c r="G27">
        <v>0.71</v>
      </c>
      <c r="H27">
        <v>120</v>
      </c>
      <c r="I27">
        <v>73</v>
      </c>
      <c r="J27" s="10" t="str">
        <f t="shared" si="0"/>
        <v>Fast</v>
      </c>
      <c r="L27" s="7" t="s">
        <v>18</v>
      </c>
      <c r="M27">
        <v>11</v>
      </c>
      <c r="O27" s="7" t="s">
        <v>437</v>
      </c>
      <c r="P27" s="8">
        <v>77.461538461538467</v>
      </c>
      <c r="AF27" s="7" t="s">
        <v>366</v>
      </c>
      <c r="AG27" s="8">
        <v>0.72</v>
      </c>
    </row>
    <row r="28" spans="1:33" outlineLevel="1" x14ac:dyDescent="0.2">
      <c r="A28" t="s">
        <v>743</v>
      </c>
      <c r="B28" t="s">
        <v>744</v>
      </c>
      <c r="C28" t="s">
        <v>51</v>
      </c>
      <c r="D28">
        <v>2018</v>
      </c>
      <c r="E28">
        <v>0.84</v>
      </c>
      <c r="F28">
        <v>218</v>
      </c>
      <c r="G28">
        <v>0.54</v>
      </c>
      <c r="H28">
        <v>97</v>
      </c>
      <c r="I28">
        <v>84</v>
      </c>
      <c r="J28" s="10" t="str">
        <f t="shared" si="0"/>
        <v>Slow</v>
      </c>
      <c r="L28" s="7" t="s">
        <v>26</v>
      </c>
      <c r="M28">
        <v>10</v>
      </c>
      <c r="O28" s="7" t="s">
        <v>739</v>
      </c>
      <c r="P28" s="8">
        <v>76</v>
      </c>
      <c r="AF28" s="7" t="s">
        <v>173</v>
      </c>
      <c r="AG28" s="8">
        <v>0.69</v>
      </c>
    </row>
    <row r="29" spans="1:33" outlineLevel="1" x14ac:dyDescent="0.2">
      <c r="A29" t="s">
        <v>781</v>
      </c>
      <c r="B29" t="s">
        <v>16</v>
      </c>
      <c r="C29" t="s">
        <v>86</v>
      </c>
      <c r="D29">
        <v>2018</v>
      </c>
      <c r="E29">
        <v>0.84</v>
      </c>
      <c r="F29">
        <v>164</v>
      </c>
      <c r="G29">
        <v>0.62</v>
      </c>
      <c r="H29">
        <v>122</v>
      </c>
      <c r="I29">
        <v>71</v>
      </c>
      <c r="J29" s="10" t="str">
        <f t="shared" si="0"/>
        <v>Fast</v>
      </c>
      <c r="L29" s="7" t="s">
        <v>141</v>
      </c>
      <c r="M29">
        <v>10</v>
      </c>
      <c r="O29" s="7" t="s">
        <v>63</v>
      </c>
      <c r="P29" s="8">
        <v>74.833333333333329</v>
      </c>
      <c r="AF29" s="7" t="s">
        <v>219</v>
      </c>
      <c r="AG29" s="8">
        <v>0.69</v>
      </c>
    </row>
    <row r="30" spans="1:33" outlineLevel="1" x14ac:dyDescent="0.2">
      <c r="A30" t="s">
        <v>797</v>
      </c>
      <c r="B30" t="s">
        <v>683</v>
      </c>
      <c r="C30" t="s">
        <v>684</v>
      </c>
      <c r="D30">
        <v>2019</v>
      </c>
      <c r="E30">
        <v>0.84</v>
      </c>
      <c r="F30">
        <v>213</v>
      </c>
      <c r="G30">
        <v>0.8</v>
      </c>
      <c r="H30">
        <v>96</v>
      </c>
      <c r="I30">
        <v>77</v>
      </c>
      <c r="J30" s="10" t="str">
        <f t="shared" si="0"/>
        <v>Slow</v>
      </c>
      <c r="L30" s="7" t="s">
        <v>165</v>
      </c>
      <c r="M30">
        <v>10</v>
      </c>
      <c r="O30" s="7" t="s">
        <v>269</v>
      </c>
      <c r="P30" s="8">
        <v>74.5</v>
      </c>
      <c r="AF30" s="7" t="s">
        <v>74</v>
      </c>
      <c r="AG30" s="8">
        <v>0.68500000000000005</v>
      </c>
    </row>
    <row r="31" spans="1:33" outlineLevel="1" x14ac:dyDescent="0.2">
      <c r="A31" t="s">
        <v>802</v>
      </c>
      <c r="B31" t="s">
        <v>295</v>
      </c>
      <c r="C31" t="s">
        <v>237</v>
      </c>
      <c r="D31">
        <v>2019</v>
      </c>
      <c r="E31">
        <v>0.84</v>
      </c>
      <c r="F31">
        <v>181</v>
      </c>
      <c r="G31">
        <v>0.73</v>
      </c>
      <c r="H31">
        <v>138</v>
      </c>
      <c r="I31">
        <v>86</v>
      </c>
      <c r="J31" s="10" t="str">
        <f t="shared" si="0"/>
        <v>Fast</v>
      </c>
      <c r="L31" s="7" t="s">
        <v>20</v>
      </c>
      <c r="M31">
        <v>9</v>
      </c>
      <c r="O31" s="7" t="s">
        <v>277</v>
      </c>
      <c r="P31" s="8">
        <v>73.5</v>
      </c>
      <c r="AF31" s="7" t="s">
        <v>112</v>
      </c>
      <c r="AG31" s="8">
        <v>0.68466666666666665</v>
      </c>
    </row>
    <row r="32" spans="1:33" outlineLevel="1" x14ac:dyDescent="0.2">
      <c r="A32" t="s">
        <v>91</v>
      </c>
      <c r="B32" t="s">
        <v>90</v>
      </c>
      <c r="C32" t="s">
        <v>51</v>
      </c>
      <c r="D32">
        <v>2010</v>
      </c>
      <c r="E32">
        <v>0.83</v>
      </c>
      <c r="F32">
        <v>187</v>
      </c>
      <c r="G32">
        <v>0.61</v>
      </c>
      <c r="H32">
        <v>120</v>
      </c>
      <c r="I32">
        <v>69</v>
      </c>
      <c r="J32" s="10" t="str">
        <f t="shared" si="0"/>
        <v>Fast</v>
      </c>
      <c r="L32" s="7" t="s">
        <v>71</v>
      </c>
      <c r="M32">
        <v>9</v>
      </c>
      <c r="O32" s="7" t="s">
        <v>74</v>
      </c>
      <c r="P32" s="8">
        <v>73.5</v>
      </c>
      <c r="AF32" s="7" t="s">
        <v>63</v>
      </c>
      <c r="AG32" s="8">
        <v>0.68299999999999983</v>
      </c>
    </row>
    <row r="33" spans="1:33" outlineLevel="1" x14ac:dyDescent="0.2">
      <c r="A33" t="s">
        <v>96</v>
      </c>
      <c r="B33" t="s">
        <v>95</v>
      </c>
      <c r="C33" t="s">
        <v>51</v>
      </c>
      <c r="D33">
        <v>2010</v>
      </c>
      <c r="E33">
        <v>0.83</v>
      </c>
      <c r="F33">
        <v>221</v>
      </c>
      <c r="G33">
        <v>0.83</v>
      </c>
      <c r="H33">
        <v>122</v>
      </c>
      <c r="I33">
        <v>73</v>
      </c>
      <c r="J33" s="10" t="str">
        <f t="shared" si="0"/>
        <v>Fast</v>
      </c>
      <c r="L33" s="7" t="s">
        <v>61</v>
      </c>
      <c r="M33">
        <v>9</v>
      </c>
      <c r="O33" s="7" t="s">
        <v>366</v>
      </c>
      <c r="P33" s="8">
        <v>73</v>
      </c>
      <c r="AF33" s="7" t="s">
        <v>86</v>
      </c>
      <c r="AG33" s="8">
        <v>0.68117647058823538</v>
      </c>
    </row>
    <row r="34" spans="1:33" outlineLevel="1" x14ac:dyDescent="0.2">
      <c r="A34" t="s">
        <v>270</v>
      </c>
      <c r="B34" t="s">
        <v>268</v>
      </c>
      <c r="C34" t="s">
        <v>269</v>
      </c>
      <c r="D34">
        <v>2013</v>
      </c>
      <c r="E34">
        <v>0.83</v>
      </c>
      <c r="F34">
        <v>354</v>
      </c>
      <c r="G34">
        <v>0.66</v>
      </c>
      <c r="H34">
        <v>100</v>
      </c>
      <c r="I34">
        <v>72</v>
      </c>
      <c r="J34" s="10" t="str">
        <f t="shared" si="0"/>
        <v>Fast</v>
      </c>
      <c r="L34" s="7" t="s">
        <v>108</v>
      </c>
      <c r="M34">
        <v>9</v>
      </c>
      <c r="O34" s="7" t="s">
        <v>173</v>
      </c>
      <c r="P34" s="8">
        <v>73</v>
      </c>
      <c r="AF34" s="7" t="s">
        <v>507</v>
      </c>
      <c r="AG34" s="8">
        <v>0.66999999999999993</v>
      </c>
    </row>
    <row r="35" spans="1:33" outlineLevel="1" x14ac:dyDescent="0.2">
      <c r="A35" t="s">
        <v>508</v>
      </c>
      <c r="B35" t="s">
        <v>317</v>
      </c>
      <c r="C35" t="s">
        <v>51</v>
      </c>
      <c r="D35">
        <v>2015</v>
      </c>
      <c r="E35">
        <v>0.83</v>
      </c>
      <c r="F35">
        <v>293</v>
      </c>
      <c r="G35">
        <v>0.61</v>
      </c>
      <c r="H35">
        <v>110</v>
      </c>
      <c r="I35">
        <v>70</v>
      </c>
      <c r="J35" s="10" t="str">
        <f t="shared" si="0"/>
        <v>Fast</v>
      </c>
      <c r="L35" s="7" t="s">
        <v>298</v>
      </c>
      <c r="M35">
        <v>9</v>
      </c>
      <c r="O35" s="7" t="s">
        <v>86</v>
      </c>
      <c r="P35" s="8">
        <v>72.235294117647058</v>
      </c>
      <c r="AF35" s="7" t="s">
        <v>479</v>
      </c>
      <c r="AG35" s="8">
        <v>0.66</v>
      </c>
    </row>
    <row r="36" spans="1:33" outlineLevel="1" x14ac:dyDescent="0.2">
      <c r="A36" t="s">
        <v>520</v>
      </c>
      <c r="B36" t="s">
        <v>521</v>
      </c>
      <c r="C36" t="s">
        <v>522</v>
      </c>
      <c r="D36">
        <v>2015</v>
      </c>
      <c r="E36">
        <v>0.83</v>
      </c>
      <c r="F36">
        <v>208</v>
      </c>
      <c r="G36">
        <v>0.51</v>
      </c>
      <c r="H36">
        <v>120</v>
      </c>
      <c r="I36">
        <v>77</v>
      </c>
      <c r="J36" s="10" t="str">
        <f t="shared" si="0"/>
        <v>Fast</v>
      </c>
      <c r="L36" s="7" t="s">
        <v>90</v>
      </c>
      <c r="M36">
        <v>9</v>
      </c>
      <c r="O36" s="7" t="s">
        <v>387</v>
      </c>
      <c r="P36" s="8">
        <v>72</v>
      </c>
      <c r="AF36" s="7" t="s">
        <v>559</v>
      </c>
      <c r="AG36" s="8">
        <v>0.65249999999999997</v>
      </c>
    </row>
    <row r="37" spans="1:33" outlineLevel="1" x14ac:dyDescent="0.2">
      <c r="A37" t="s">
        <v>600</v>
      </c>
      <c r="B37" t="s">
        <v>601</v>
      </c>
      <c r="C37" t="s">
        <v>51</v>
      </c>
      <c r="D37">
        <v>2016</v>
      </c>
      <c r="E37">
        <v>0.83</v>
      </c>
      <c r="F37">
        <v>250</v>
      </c>
      <c r="G37">
        <v>0.71</v>
      </c>
      <c r="H37">
        <v>123</v>
      </c>
      <c r="I37">
        <v>31</v>
      </c>
      <c r="J37" s="10" t="str">
        <f t="shared" si="0"/>
        <v>Fast</v>
      </c>
      <c r="L37" s="7" t="s">
        <v>147</v>
      </c>
      <c r="M37">
        <v>8</v>
      </c>
      <c r="O37" s="7" t="s">
        <v>522</v>
      </c>
      <c r="P37" s="8">
        <v>71.666666666666671</v>
      </c>
      <c r="AF37" s="7" t="s">
        <v>437</v>
      </c>
      <c r="AG37" s="8">
        <v>0.65230769230769226</v>
      </c>
    </row>
    <row r="38" spans="1:33" outlineLevel="1" x14ac:dyDescent="0.2">
      <c r="A38" t="s">
        <v>628</v>
      </c>
      <c r="B38" t="s">
        <v>627</v>
      </c>
      <c r="C38" t="s">
        <v>51</v>
      </c>
      <c r="D38">
        <v>2016</v>
      </c>
      <c r="E38">
        <v>0.83</v>
      </c>
      <c r="F38">
        <v>263</v>
      </c>
      <c r="G38">
        <v>0.75</v>
      </c>
      <c r="H38">
        <v>90</v>
      </c>
      <c r="I38">
        <v>47</v>
      </c>
      <c r="J38" s="10" t="str">
        <f t="shared" si="0"/>
        <v>Slow</v>
      </c>
      <c r="L38" s="7" t="s">
        <v>343</v>
      </c>
      <c r="M38">
        <v>8</v>
      </c>
      <c r="O38" s="7" t="s">
        <v>559</v>
      </c>
      <c r="P38" s="8">
        <v>70</v>
      </c>
      <c r="AF38" s="7" t="s">
        <v>214</v>
      </c>
      <c r="AG38" s="8">
        <v>0.65</v>
      </c>
    </row>
    <row r="39" spans="1:33" outlineLevel="1" x14ac:dyDescent="0.2">
      <c r="A39" t="s">
        <v>5</v>
      </c>
      <c r="B39" t="s">
        <v>6</v>
      </c>
      <c r="C39" t="s">
        <v>63</v>
      </c>
      <c r="D39">
        <v>2017</v>
      </c>
      <c r="E39">
        <v>0.83</v>
      </c>
      <c r="F39">
        <v>234</v>
      </c>
      <c r="G39">
        <v>0.65</v>
      </c>
      <c r="H39">
        <v>96</v>
      </c>
      <c r="I39">
        <v>87</v>
      </c>
      <c r="J39" s="10" t="str">
        <f t="shared" si="0"/>
        <v>Slow</v>
      </c>
      <c r="L39" s="7" t="s">
        <v>273</v>
      </c>
      <c r="M39">
        <v>8</v>
      </c>
      <c r="O39" s="7" t="s">
        <v>391</v>
      </c>
      <c r="P39" s="8">
        <v>70</v>
      </c>
      <c r="AF39" s="7" t="s">
        <v>441</v>
      </c>
      <c r="AG39" s="8">
        <v>0.64777777777777779</v>
      </c>
    </row>
    <row r="40" spans="1:33" outlineLevel="1" x14ac:dyDescent="0.2">
      <c r="A40" t="s">
        <v>127</v>
      </c>
      <c r="B40" t="s">
        <v>128</v>
      </c>
      <c r="C40" t="s">
        <v>51</v>
      </c>
      <c r="D40">
        <v>2010</v>
      </c>
      <c r="E40">
        <v>0.82</v>
      </c>
      <c r="F40">
        <v>308</v>
      </c>
      <c r="G40">
        <v>0.81</v>
      </c>
      <c r="H40">
        <v>128</v>
      </c>
      <c r="I40">
        <v>70</v>
      </c>
      <c r="J40" s="10" t="str">
        <f t="shared" si="0"/>
        <v>Fast</v>
      </c>
      <c r="L40" s="7" t="s">
        <v>249</v>
      </c>
      <c r="M40">
        <v>8</v>
      </c>
      <c r="O40" s="7" t="s">
        <v>661</v>
      </c>
      <c r="P40" s="8">
        <v>70</v>
      </c>
      <c r="AF40" s="7" t="s">
        <v>696</v>
      </c>
      <c r="AG40" s="8">
        <v>0.61199999999999999</v>
      </c>
    </row>
    <row r="41" spans="1:33" outlineLevel="1" x14ac:dyDescent="0.2">
      <c r="A41" t="s">
        <v>201</v>
      </c>
      <c r="B41" t="s">
        <v>111</v>
      </c>
      <c r="C41" t="s">
        <v>112</v>
      </c>
      <c r="D41">
        <v>2011</v>
      </c>
      <c r="E41">
        <v>0.82</v>
      </c>
      <c r="F41">
        <v>257</v>
      </c>
      <c r="G41">
        <v>0.81</v>
      </c>
      <c r="H41">
        <v>128</v>
      </c>
      <c r="I41">
        <v>54</v>
      </c>
      <c r="J41" s="10" t="str">
        <f t="shared" si="0"/>
        <v>Fast</v>
      </c>
      <c r="L41" s="7" t="s">
        <v>587</v>
      </c>
      <c r="M41">
        <v>7</v>
      </c>
      <c r="O41" s="7" t="s">
        <v>237</v>
      </c>
      <c r="P41" s="8">
        <v>69.666666666666671</v>
      </c>
      <c r="AF41" s="7" t="s">
        <v>204</v>
      </c>
      <c r="AG41" s="8">
        <v>0.61</v>
      </c>
    </row>
    <row r="42" spans="1:33" outlineLevel="1" x14ac:dyDescent="0.2">
      <c r="A42" t="s">
        <v>461</v>
      </c>
      <c r="B42" t="s">
        <v>6</v>
      </c>
      <c r="C42" t="s">
        <v>63</v>
      </c>
      <c r="D42">
        <v>2015</v>
      </c>
      <c r="E42">
        <v>0.82</v>
      </c>
      <c r="F42">
        <v>235</v>
      </c>
      <c r="G42">
        <v>0.67</v>
      </c>
      <c r="H42">
        <v>120</v>
      </c>
      <c r="I42">
        <v>71</v>
      </c>
      <c r="J42" s="10" t="str">
        <f t="shared" si="0"/>
        <v>Fast</v>
      </c>
      <c r="L42" s="7" t="s">
        <v>236</v>
      </c>
      <c r="M42">
        <v>7</v>
      </c>
      <c r="O42" s="7" t="s">
        <v>106</v>
      </c>
      <c r="P42" s="8">
        <v>69.5</v>
      </c>
      <c r="AF42" s="7" t="s">
        <v>58</v>
      </c>
      <c r="AG42" s="8">
        <v>0.60333333333333339</v>
      </c>
    </row>
    <row r="43" spans="1:33" outlineLevel="1" x14ac:dyDescent="0.2">
      <c r="A43" t="s">
        <v>665</v>
      </c>
      <c r="B43" t="s">
        <v>24</v>
      </c>
      <c r="C43" t="s">
        <v>63</v>
      </c>
      <c r="D43">
        <v>2017</v>
      </c>
      <c r="E43">
        <v>0.82</v>
      </c>
      <c r="F43">
        <v>226</v>
      </c>
      <c r="G43">
        <v>0.8</v>
      </c>
      <c r="H43">
        <v>107</v>
      </c>
      <c r="I43">
        <v>69</v>
      </c>
      <c r="J43" s="10" t="str">
        <f t="shared" si="0"/>
        <v>Fast</v>
      </c>
      <c r="L43" s="7" t="s">
        <v>66</v>
      </c>
      <c r="M43">
        <v>6</v>
      </c>
      <c r="O43" s="7" t="s">
        <v>219</v>
      </c>
      <c r="P43" s="8">
        <v>67.5</v>
      </c>
      <c r="AF43" s="7" t="s">
        <v>83</v>
      </c>
      <c r="AG43" s="8">
        <v>0.60125000000000006</v>
      </c>
    </row>
    <row r="44" spans="1:33" outlineLevel="1" x14ac:dyDescent="0.2">
      <c r="A44" t="s">
        <v>666</v>
      </c>
      <c r="B44" t="s">
        <v>26</v>
      </c>
      <c r="C44" t="s">
        <v>51</v>
      </c>
      <c r="D44">
        <v>2017</v>
      </c>
      <c r="E44">
        <v>0.82</v>
      </c>
      <c r="F44">
        <v>219</v>
      </c>
      <c r="G44">
        <v>0.91</v>
      </c>
      <c r="H44">
        <v>120</v>
      </c>
      <c r="I44">
        <v>78</v>
      </c>
      <c r="J44" s="10" t="str">
        <f t="shared" si="0"/>
        <v>Fast</v>
      </c>
      <c r="L44" s="7" t="s">
        <v>190</v>
      </c>
      <c r="M44">
        <v>6</v>
      </c>
      <c r="O44" s="7" t="s">
        <v>355</v>
      </c>
      <c r="P44" s="8">
        <v>67.333333333333329</v>
      </c>
      <c r="AF44" s="7" t="s">
        <v>739</v>
      </c>
      <c r="AG44" s="8">
        <v>0.59</v>
      </c>
    </row>
    <row r="45" spans="1:33" outlineLevel="1" x14ac:dyDescent="0.2">
      <c r="A45" t="s">
        <v>75</v>
      </c>
      <c r="B45" t="s">
        <v>671</v>
      </c>
      <c r="C45" t="s">
        <v>63</v>
      </c>
      <c r="D45">
        <v>2018</v>
      </c>
      <c r="E45">
        <v>0.82</v>
      </c>
      <c r="F45">
        <v>253</v>
      </c>
      <c r="G45">
        <v>0.73</v>
      </c>
      <c r="H45">
        <v>136</v>
      </c>
      <c r="I45">
        <v>85</v>
      </c>
      <c r="J45" s="10" t="str">
        <f t="shared" si="0"/>
        <v>Fast</v>
      </c>
      <c r="L45" s="7" t="s">
        <v>433</v>
      </c>
      <c r="M45">
        <v>6</v>
      </c>
      <c r="O45" s="7" t="s">
        <v>101</v>
      </c>
      <c r="P45" s="8">
        <v>65.599999999999994</v>
      </c>
      <c r="AF45" s="7" t="s">
        <v>675</v>
      </c>
      <c r="AG45" s="8">
        <v>0.57000000000000006</v>
      </c>
    </row>
    <row r="46" spans="1:33" outlineLevel="1" x14ac:dyDescent="0.2">
      <c r="A46" t="s">
        <v>70</v>
      </c>
      <c r="B46" t="s">
        <v>71</v>
      </c>
      <c r="C46" t="s">
        <v>51</v>
      </c>
      <c r="D46">
        <v>2010</v>
      </c>
      <c r="E46">
        <v>0.81</v>
      </c>
      <c r="F46">
        <v>196</v>
      </c>
      <c r="G46">
        <v>0.63</v>
      </c>
      <c r="H46">
        <v>130</v>
      </c>
      <c r="I46">
        <v>61</v>
      </c>
      <c r="J46" s="10" t="str">
        <f t="shared" si="0"/>
        <v>Fast</v>
      </c>
      <c r="L46" s="7" t="s">
        <v>354</v>
      </c>
      <c r="M46">
        <v>6</v>
      </c>
      <c r="O46" s="7" t="s">
        <v>112</v>
      </c>
      <c r="P46" s="8">
        <v>65.400000000000006</v>
      </c>
      <c r="AF46" s="7" t="s">
        <v>277</v>
      </c>
      <c r="AG46" s="8">
        <v>0.53</v>
      </c>
    </row>
    <row r="47" spans="1:33" outlineLevel="1" x14ac:dyDescent="0.2">
      <c r="A47" t="s">
        <v>460</v>
      </c>
      <c r="B47" t="s">
        <v>6</v>
      </c>
      <c r="C47" t="s">
        <v>63</v>
      </c>
      <c r="D47">
        <v>2015</v>
      </c>
      <c r="E47">
        <v>0.81</v>
      </c>
      <c r="F47">
        <v>220</v>
      </c>
      <c r="G47">
        <v>0.61</v>
      </c>
      <c r="H47">
        <v>95</v>
      </c>
      <c r="I47">
        <v>74</v>
      </c>
      <c r="J47" s="10" t="str">
        <f t="shared" si="0"/>
        <v>Slow</v>
      </c>
      <c r="L47" s="7" t="s">
        <v>195</v>
      </c>
      <c r="M47">
        <v>6</v>
      </c>
      <c r="O47" s="7" t="s">
        <v>54</v>
      </c>
      <c r="P47" s="8">
        <v>65.400000000000006</v>
      </c>
      <c r="AF47" s="7" t="s">
        <v>142</v>
      </c>
      <c r="AG47" s="8">
        <v>0.51090909090909098</v>
      </c>
    </row>
    <row r="48" spans="1:33" outlineLevel="1" x14ac:dyDescent="0.2">
      <c r="A48" t="s">
        <v>469</v>
      </c>
      <c r="B48" t="s">
        <v>468</v>
      </c>
      <c r="C48" t="s">
        <v>51</v>
      </c>
      <c r="D48">
        <v>2015</v>
      </c>
      <c r="E48">
        <v>0.81</v>
      </c>
      <c r="F48">
        <v>171</v>
      </c>
      <c r="G48">
        <v>0.87</v>
      </c>
      <c r="H48">
        <v>103</v>
      </c>
      <c r="I48">
        <v>66</v>
      </c>
      <c r="J48" s="10" t="str">
        <f t="shared" si="0"/>
        <v>Fast</v>
      </c>
      <c r="L48" s="7" t="s">
        <v>517</v>
      </c>
      <c r="M48">
        <v>6</v>
      </c>
      <c r="O48" s="7" t="s">
        <v>51</v>
      </c>
      <c r="P48" s="8">
        <v>64.36391437308869</v>
      </c>
      <c r="AF48" s="7" t="s">
        <v>614</v>
      </c>
      <c r="AG48" s="8">
        <v>0.47</v>
      </c>
    </row>
    <row r="49" spans="1:33" outlineLevel="1" x14ac:dyDescent="0.2">
      <c r="A49" t="s">
        <v>519</v>
      </c>
      <c r="B49" t="s">
        <v>517</v>
      </c>
      <c r="C49" t="s">
        <v>51</v>
      </c>
      <c r="D49">
        <v>2015</v>
      </c>
      <c r="E49">
        <v>0.81</v>
      </c>
      <c r="F49">
        <v>189</v>
      </c>
      <c r="G49">
        <v>0.88</v>
      </c>
      <c r="H49">
        <v>134</v>
      </c>
      <c r="I49">
        <v>65</v>
      </c>
      <c r="J49" s="10" t="str">
        <f t="shared" si="0"/>
        <v>Fast</v>
      </c>
      <c r="L49" s="7" t="s">
        <v>57</v>
      </c>
      <c r="M49">
        <v>6</v>
      </c>
      <c r="O49" s="7" t="s">
        <v>83</v>
      </c>
      <c r="P49" s="8">
        <v>62.75</v>
      </c>
      <c r="AF49" s="7" t="s">
        <v>631</v>
      </c>
      <c r="AG49" s="8">
        <v>0.47</v>
      </c>
    </row>
    <row r="50" spans="1:33" outlineLevel="1" x14ac:dyDescent="0.2">
      <c r="A50" t="s">
        <v>639</v>
      </c>
      <c r="B50" t="s">
        <v>343</v>
      </c>
      <c r="C50" t="s">
        <v>51</v>
      </c>
      <c r="D50">
        <v>2016</v>
      </c>
      <c r="E50">
        <v>0.81</v>
      </c>
      <c r="F50">
        <v>201</v>
      </c>
      <c r="G50">
        <v>0.5</v>
      </c>
      <c r="H50">
        <v>111</v>
      </c>
      <c r="I50">
        <v>71</v>
      </c>
      <c r="J50" s="10" t="str">
        <f t="shared" si="0"/>
        <v>Fast</v>
      </c>
      <c r="L50" s="7" t="s">
        <v>210</v>
      </c>
      <c r="M50">
        <v>5</v>
      </c>
      <c r="O50" s="7" t="s">
        <v>434</v>
      </c>
      <c r="P50" s="8">
        <v>62.333333333333336</v>
      </c>
      <c r="AF50" s="7" t="s">
        <v>136</v>
      </c>
      <c r="AG50" s="8">
        <v>0.40666666666666668</v>
      </c>
    </row>
    <row r="51" spans="1:33" outlineLevel="1" x14ac:dyDescent="0.2">
      <c r="A51" t="s">
        <v>792</v>
      </c>
      <c r="B51" t="s">
        <v>26</v>
      </c>
      <c r="C51" t="s">
        <v>51</v>
      </c>
      <c r="D51">
        <v>2019</v>
      </c>
      <c r="E51">
        <v>0.81</v>
      </c>
      <c r="F51">
        <v>229</v>
      </c>
      <c r="G51">
        <v>0.89</v>
      </c>
      <c r="H51">
        <v>122</v>
      </c>
      <c r="I51">
        <v>84</v>
      </c>
      <c r="J51" s="10" t="str">
        <f t="shared" si="0"/>
        <v>Fast</v>
      </c>
      <c r="L51" s="7" t="s">
        <v>231</v>
      </c>
      <c r="M51">
        <v>5</v>
      </c>
      <c r="O51" s="7" t="s">
        <v>605</v>
      </c>
      <c r="P51" s="8">
        <v>62.25</v>
      </c>
      <c r="AF51" s="7" t="s">
        <v>805</v>
      </c>
      <c r="AG51" s="8">
        <v>0.4</v>
      </c>
    </row>
    <row r="52" spans="1:33" outlineLevel="1" x14ac:dyDescent="0.2">
      <c r="A52" t="s">
        <v>118</v>
      </c>
      <c r="B52" t="s">
        <v>119</v>
      </c>
      <c r="C52" t="s">
        <v>120</v>
      </c>
      <c r="D52">
        <v>2010</v>
      </c>
      <c r="E52">
        <v>0.8</v>
      </c>
      <c r="F52">
        <v>193</v>
      </c>
      <c r="G52">
        <v>0.87</v>
      </c>
      <c r="H52">
        <v>112</v>
      </c>
      <c r="I52">
        <v>56</v>
      </c>
      <c r="J52" s="10" t="str">
        <f t="shared" si="0"/>
        <v>Fast</v>
      </c>
      <c r="L52" s="7" t="s">
        <v>324</v>
      </c>
      <c r="M52">
        <v>5</v>
      </c>
      <c r="O52" s="7" t="s">
        <v>142</v>
      </c>
      <c r="P52" s="8">
        <v>62.18181818181818</v>
      </c>
      <c r="AF52" s="7" t="s">
        <v>423</v>
      </c>
      <c r="AG52" s="8">
        <v>0.35500000000000004</v>
      </c>
    </row>
    <row r="53" spans="1:33" outlineLevel="1" x14ac:dyDescent="0.2">
      <c r="A53" t="s">
        <v>129</v>
      </c>
      <c r="B53" t="s">
        <v>128</v>
      </c>
      <c r="C53" t="s">
        <v>51</v>
      </c>
      <c r="D53">
        <v>2010</v>
      </c>
      <c r="E53">
        <v>0.8</v>
      </c>
      <c r="F53">
        <v>284</v>
      </c>
      <c r="G53">
        <v>0.63</v>
      </c>
      <c r="H53">
        <v>130</v>
      </c>
      <c r="I53">
        <v>68</v>
      </c>
      <c r="J53" s="10" t="str">
        <f t="shared" si="0"/>
        <v>Fast</v>
      </c>
      <c r="L53" s="7" t="s">
        <v>217</v>
      </c>
      <c r="M53">
        <v>5</v>
      </c>
      <c r="O53" s="7" t="s">
        <v>675</v>
      </c>
      <c r="P53" s="8">
        <v>61.5</v>
      </c>
      <c r="AF53" s="7" t="s">
        <v>293</v>
      </c>
      <c r="AG53" s="8">
        <v>0.34</v>
      </c>
    </row>
    <row r="54" spans="1:33" outlineLevel="1" x14ac:dyDescent="0.2">
      <c r="A54" t="s">
        <v>192</v>
      </c>
      <c r="B54" t="s">
        <v>190</v>
      </c>
      <c r="C54" t="s">
        <v>51</v>
      </c>
      <c r="D54">
        <v>2011</v>
      </c>
      <c r="E54">
        <v>0.8</v>
      </c>
      <c r="F54">
        <v>227</v>
      </c>
      <c r="G54">
        <v>0.72</v>
      </c>
      <c r="H54">
        <v>98</v>
      </c>
      <c r="I54">
        <v>7</v>
      </c>
      <c r="J54" s="10" t="str">
        <f t="shared" si="0"/>
        <v>Slow</v>
      </c>
      <c r="L54" s="7" t="s">
        <v>655</v>
      </c>
      <c r="M54">
        <v>5</v>
      </c>
      <c r="O54" s="7" t="s">
        <v>136</v>
      </c>
      <c r="P54" s="8">
        <v>60</v>
      </c>
      <c r="AF54" s="7" t="s">
        <v>829</v>
      </c>
      <c r="AG54" s="8">
        <v>0.70504145936981732</v>
      </c>
    </row>
    <row r="55" spans="1:33" outlineLevel="1" x14ac:dyDescent="0.2">
      <c r="A55" t="s">
        <v>297</v>
      </c>
      <c r="B55" t="s">
        <v>298</v>
      </c>
      <c r="C55" t="s">
        <v>51</v>
      </c>
      <c r="D55">
        <v>2013</v>
      </c>
      <c r="E55">
        <v>0.8</v>
      </c>
      <c r="F55">
        <v>326</v>
      </c>
      <c r="G55">
        <v>0.6</v>
      </c>
      <c r="H55">
        <v>102</v>
      </c>
      <c r="I55">
        <v>68</v>
      </c>
      <c r="J55" s="10" t="str">
        <f t="shared" si="0"/>
        <v>Fast</v>
      </c>
      <c r="L55" s="7" t="s">
        <v>76</v>
      </c>
      <c r="M55">
        <v>5</v>
      </c>
      <c r="O55" s="7" t="s">
        <v>507</v>
      </c>
      <c r="P55" s="8">
        <v>60</v>
      </c>
    </row>
    <row r="56" spans="1:33" outlineLevel="1" x14ac:dyDescent="0.2">
      <c r="A56" t="s">
        <v>351</v>
      </c>
      <c r="B56" t="s">
        <v>352</v>
      </c>
      <c r="C56" t="s">
        <v>51</v>
      </c>
      <c r="D56">
        <v>2013</v>
      </c>
      <c r="E56">
        <v>0.8</v>
      </c>
      <c r="F56">
        <v>280</v>
      </c>
      <c r="G56">
        <v>0.61</v>
      </c>
      <c r="H56">
        <v>128</v>
      </c>
      <c r="I56">
        <v>68</v>
      </c>
      <c r="J56" s="10" t="str">
        <f t="shared" si="0"/>
        <v>Fast</v>
      </c>
      <c r="L56" s="7" t="s">
        <v>314</v>
      </c>
      <c r="M56">
        <v>5</v>
      </c>
      <c r="O56" s="7" t="s">
        <v>214</v>
      </c>
      <c r="P56" s="8">
        <v>58.75</v>
      </c>
    </row>
    <row r="57" spans="1:33" outlineLevel="1" x14ac:dyDescent="0.2">
      <c r="A57" t="s">
        <v>431</v>
      </c>
      <c r="B57" t="s">
        <v>119</v>
      </c>
      <c r="C57" t="s">
        <v>120</v>
      </c>
      <c r="D57">
        <v>2014</v>
      </c>
      <c r="E57">
        <v>0.8</v>
      </c>
      <c r="F57">
        <v>198</v>
      </c>
      <c r="G57">
        <v>0.82</v>
      </c>
      <c r="H57">
        <v>128</v>
      </c>
      <c r="I57">
        <v>50</v>
      </c>
      <c r="J57" s="10" t="str">
        <f t="shared" si="0"/>
        <v>Fast</v>
      </c>
      <c r="L57" s="7" t="s">
        <v>128</v>
      </c>
      <c r="M57">
        <v>5</v>
      </c>
      <c r="O57" s="7" t="s">
        <v>204</v>
      </c>
      <c r="P57" s="8">
        <v>58.5</v>
      </c>
    </row>
    <row r="58" spans="1:33" outlineLevel="1" x14ac:dyDescent="0.2">
      <c r="A58" t="s">
        <v>453</v>
      </c>
      <c r="B58" t="s">
        <v>454</v>
      </c>
      <c r="C58" t="s">
        <v>51</v>
      </c>
      <c r="D58">
        <v>2015</v>
      </c>
      <c r="E58">
        <v>0.8</v>
      </c>
      <c r="F58">
        <v>228</v>
      </c>
      <c r="G58">
        <v>0.59</v>
      </c>
      <c r="H58">
        <v>121</v>
      </c>
      <c r="I58">
        <v>73</v>
      </c>
      <c r="J58" s="10" t="str">
        <f t="shared" si="0"/>
        <v>Fast</v>
      </c>
      <c r="L58" s="7" t="s">
        <v>371</v>
      </c>
      <c r="M58">
        <v>5</v>
      </c>
      <c r="O58" s="7" t="s">
        <v>287</v>
      </c>
      <c r="P58" s="8">
        <v>58.5</v>
      </c>
    </row>
    <row r="59" spans="1:33" outlineLevel="1" x14ac:dyDescent="0.2">
      <c r="A59" t="s">
        <v>538</v>
      </c>
      <c r="B59" t="s">
        <v>539</v>
      </c>
      <c r="C59" t="s">
        <v>51</v>
      </c>
      <c r="D59">
        <v>2015</v>
      </c>
      <c r="E59">
        <v>0.8</v>
      </c>
      <c r="F59">
        <v>196</v>
      </c>
      <c r="G59">
        <v>0.78</v>
      </c>
      <c r="H59">
        <v>128</v>
      </c>
      <c r="I59">
        <v>42</v>
      </c>
      <c r="J59" s="10" t="str">
        <f t="shared" si="0"/>
        <v>Fast</v>
      </c>
      <c r="L59" s="7" t="s">
        <v>555</v>
      </c>
      <c r="M59">
        <v>5</v>
      </c>
      <c r="O59" s="7" t="s">
        <v>503</v>
      </c>
      <c r="P59" s="8">
        <v>58</v>
      </c>
    </row>
    <row r="60" spans="1:33" outlineLevel="1" x14ac:dyDescent="0.2">
      <c r="A60" t="s">
        <v>592</v>
      </c>
      <c r="B60" t="s">
        <v>468</v>
      </c>
      <c r="C60" t="s">
        <v>51</v>
      </c>
      <c r="D60">
        <v>2016</v>
      </c>
      <c r="E60">
        <v>0.8</v>
      </c>
      <c r="F60">
        <v>214</v>
      </c>
      <c r="G60">
        <v>0.59</v>
      </c>
      <c r="H60">
        <v>105</v>
      </c>
      <c r="I60">
        <v>79</v>
      </c>
      <c r="J60" s="10" t="str">
        <f t="shared" si="0"/>
        <v>Fast</v>
      </c>
      <c r="L60" s="7" t="s">
        <v>393</v>
      </c>
      <c r="M60">
        <v>4</v>
      </c>
      <c r="O60" s="7" t="s">
        <v>423</v>
      </c>
      <c r="P60" s="8">
        <v>56.5</v>
      </c>
    </row>
    <row r="61" spans="1:33" outlineLevel="1" x14ac:dyDescent="0.2">
      <c r="A61" t="s">
        <v>629</v>
      </c>
      <c r="B61" t="s">
        <v>630</v>
      </c>
      <c r="C61" t="s">
        <v>631</v>
      </c>
      <c r="D61">
        <v>2016</v>
      </c>
      <c r="E61">
        <v>0.8</v>
      </c>
      <c r="F61">
        <v>228</v>
      </c>
      <c r="G61">
        <v>0.47</v>
      </c>
      <c r="H61">
        <v>98</v>
      </c>
      <c r="I61">
        <v>18</v>
      </c>
      <c r="J61" s="10" t="str">
        <f t="shared" si="0"/>
        <v>Slow</v>
      </c>
      <c r="L61" s="7" t="s">
        <v>213</v>
      </c>
      <c r="M61">
        <v>4</v>
      </c>
      <c r="O61" s="7" t="s">
        <v>120</v>
      </c>
      <c r="P61" s="8">
        <v>56</v>
      </c>
    </row>
    <row r="62" spans="1:33" outlineLevel="1" x14ac:dyDescent="0.2">
      <c r="A62" t="s">
        <v>692</v>
      </c>
      <c r="B62" t="s">
        <v>10</v>
      </c>
      <c r="C62" t="s">
        <v>51</v>
      </c>
      <c r="D62">
        <v>2017</v>
      </c>
      <c r="E62">
        <v>0.8</v>
      </c>
      <c r="F62">
        <v>228</v>
      </c>
      <c r="G62">
        <v>0.79</v>
      </c>
      <c r="H62">
        <v>106</v>
      </c>
      <c r="I62">
        <v>68</v>
      </c>
      <c r="J62" s="10" t="str">
        <f t="shared" si="0"/>
        <v>Fast</v>
      </c>
      <c r="L62" s="7" t="s">
        <v>526</v>
      </c>
      <c r="M62">
        <v>4</v>
      </c>
      <c r="O62" s="7" t="s">
        <v>58</v>
      </c>
      <c r="P62" s="8">
        <v>55.5</v>
      </c>
    </row>
    <row r="63" spans="1:33" outlineLevel="1" x14ac:dyDescent="0.2">
      <c r="A63" t="s">
        <v>33</v>
      </c>
      <c r="B63" t="s">
        <v>34</v>
      </c>
      <c r="C63" t="s">
        <v>63</v>
      </c>
      <c r="D63">
        <v>2018</v>
      </c>
      <c r="E63">
        <v>0.8</v>
      </c>
      <c r="F63">
        <v>200</v>
      </c>
      <c r="G63">
        <v>0.6</v>
      </c>
      <c r="H63">
        <v>110</v>
      </c>
      <c r="I63">
        <v>79</v>
      </c>
      <c r="J63" s="10" t="str">
        <f t="shared" si="0"/>
        <v>Fast</v>
      </c>
      <c r="L63" s="7" t="s">
        <v>12</v>
      </c>
      <c r="M63">
        <v>4</v>
      </c>
      <c r="O63" s="7" t="s">
        <v>773</v>
      </c>
      <c r="P63" s="8">
        <v>53</v>
      </c>
    </row>
    <row r="64" spans="1:33" outlineLevel="1" x14ac:dyDescent="0.2">
      <c r="A64" t="s">
        <v>39</v>
      </c>
      <c r="B64" t="s">
        <v>6</v>
      </c>
      <c r="C64" t="s">
        <v>63</v>
      </c>
      <c r="D64">
        <v>2019</v>
      </c>
      <c r="E64">
        <v>0.8</v>
      </c>
      <c r="F64">
        <v>220</v>
      </c>
      <c r="G64">
        <v>0.68</v>
      </c>
      <c r="H64">
        <v>102</v>
      </c>
      <c r="I64">
        <v>85</v>
      </c>
      <c r="J64" s="10" t="str">
        <f t="shared" si="0"/>
        <v>Fast</v>
      </c>
      <c r="L64" s="7" t="s">
        <v>440</v>
      </c>
      <c r="M64">
        <v>4</v>
      </c>
      <c r="O64" s="7" t="s">
        <v>123</v>
      </c>
      <c r="P64" s="8">
        <v>50</v>
      </c>
    </row>
    <row r="65" spans="1:16" outlineLevel="1" x14ac:dyDescent="0.2">
      <c r="A65" t="s">
        <v>801</v>
      </c>
      <c r="B65" t="s">
        <v>295</v>
      </c>
      <c r="C65" t="s">
        <v>237</v>
      </c>
      <c r="D65">
        <v>2019</v>
      </c>
      <c r="E65">
        <v>0.8</v>
      </c>
      <c r="F65">
        <v>183</v>
      </c>
      <c r="G65">
        <v>0.5</v>
      </c>
      <c r="H65">
        <v>94</v>
      </c>
      <c r="I65">
        <v>87</v>
      </c>
      <c r="J65" s="10" t="str">
        <f t="shared" si="0"/>
        <v>Slow</v>
      </c>
      <c r="L65" s="7" t="s">
        <v>468</v>
      </c>
      <c r="M65">
        <v>4</v>
      </c>
      <c r="O65" s="7" t="s">
        <v>407</v>
      </c>
      <c r="P65" s="8">
        <v>37</v>
      </c>
    </row>
    <row r="66" spans="1:16" outlineLevel="1" x14ac:dyDescent="0.2">
      <c r="A66" t="s">
        <v>88</v>
      </c>
      <c r="B66" t="s">
        <v>10</v>
      </c>
      <c r="C66" t="s">
        <v>51</v>
      </c>
      <c r="D66">
        <v>2010</v>
      </c>
      <c r="E66">
        <v>0.79</v>
      </c>
      <c r="F66">
        <v>235</v>
      </c>
      <c r="G66">
        <v>0.75</v>
      </c>
      <c r="H66">
        <v>125</v>
      </c>
      <c r="I66">
        <v>62</v>
      </c>
      <c r="J66" s="10" t="str">
        <f t="shared" si="0"/>
        <v>Fast</v>
      </c>
      <c r="L66" s="7" t="s">
        <v>695</v>
      </c>
      <c r="M66">
        <v>4</v>
      </c>
      <c r="O66" s="7" t="s">
        <v>293</v>
      </c>
      <c r="P66" s="8">
        <v>36</v>
      </c>
    </row>
    <row r="67" spans="1:16" outlineLevel="1" x14ac:dyDescent="0.2">
      <c r="A67" t="s">
        <v>110</v>
      </c>
      <c r="B67" t="s">
        <v>111</v>
      </c>
      <c r="C67" t="s">
        <v>112</v>
      </c>
      <c r="D67">
        <v>2010</v>
      </c>
      <c r="E67">
        <v>0.79</v>
      </c>
      <c r="F67">
        <v>235</v>
      </c>
      <c r="G67">
        <v>0.72</v>
      </c>
      <c r="H67">
        <v>126</v>
      </c>
      <c r="I67">
        <v>73</v>
      </c>
      <c r="J67" s="10" t="str">
        <f t="shared" ref="J67:J130" si="1">IF(H67&lt;100,"Slow","Fast")</f>
        <v>Fast</v>
      </c>
      <c r="L67" s="7" t="s">
        <v>671</v>
      </c>
      <c r="M67">
        <v>3</v>
      </c>
      <c r="O67" s="7" t="s">
        <v>631</v>
      </c>
      <c r="P67" s="8">
        <v>18</v>
      </c>
    </row>
    <row r="68" spans="1:16" outlineLevel="1" x14ac:dyDescent="0.2">
      <c r="A68" t="s">
        <v>223</v>
      </c>
      <c r="B68" t="s">
        <v>165</v>
      </c>
      <c r="C68" t="s">
        <v>51</v>
      </c>
      <c r="D68">
        <v>2012</v>
      </c>
      <c r="E68">
        <v>0.79</v>
      </c>
      <c r="F68">
        <v>237</v>
      </c>
      <c r="G68">
        <v>0.86</v>
      </c>
      <c r="H68">
        <v>128</v>
      </c>
      <c r="I68">
        <v>66</v>
      </c>
      <c r="J68" s="10" t="str">
        <f t="shared" si="1"/>
        <v>Fast</v>
      </c>
      <c r="L68" s="7" t="s">
        <v>582</v>
      </c>
      <c r="M68">
        <v>3</v>
      </c>
      <c r="O68" s="7" t="s">
        <v>829</v>
      </c>
      <c r="P68" s="8">
        <v>66.520729684908787</v>
      </c>
    </row>
    <row r="69" spans="1:16" outlineLevel="1" x14ac:dyDescent="0.2">
      <c r="A69" t="s">
        <v>267</v>
      </c>
      <c r="B69" t="s">
        <v>268</v>
      </c>
      <c r="C69" t="s">
        <v>269</v>
      </c>
      <c r="D69">
        <v>2013</v>
      </c>
      <c r="E69">
        <v>0.79</v>
      </c>
      <c r="F69">
        <v>248</v>
      </c>
      <c r="G69">
        <v>0.81</v>
      </c>
      <c r="H69">
        <v>116</v>
      </c>
      <c r="I69">
        <v>77</v>
      </c>
      <c r="J69" s="10" t="str">
        <f t="shared" si="1"/>
        <v>Fast</v>
      </c>
      <c r="L69" s="7" t="s">
        <v>669</v>
      </c>
      <c r="M69">
        <v>3</v>
      </c>
    </row>
    <row r="70" spans="1:16" outlineLevel="1" x14ac:dyDescent="0.2">
      <c r="A70" t="s">
        <v>436</v>
      </c>
      <c r="B70" t="s">
        <v>18</v>
      </c>
      <c r="C70" t="s">
        <v>437</v>
      </c>
      <c r="D70">
        <v>2014</v>
      </c>
      <c r="E70">
        <v>0.79</v>
      </c>
      <c r="F70">
        <v>184</v>
      </c>
      <c r="G70">
        <v>0.92</v>
      </c>
      <c r="H70">
        <v>128</v>
      </c>
      <c r="I70">
        <v>65</v>
      </c>
      <c r="J70" s="10" t="str">
        <f t="shared" si="1"/>
        <v>Fast</v>
      </c>
      <c r="L70" s="7" t="s">
        <v>82</v>
      </c>
      <c r="M70">
        <v>3</v>
      </c>
    </row>
    <row r="71" spans="1:16" outlineLevel="1" x14ac:dyDescent="0.2">
      <c r="A71" t="s">
        <v>504</v>
      </c>
      <c r="B71" t="s">
        <v>314</v>
      </c>
      <c r="C71" t="s">
        <v>51</v>
      </c>
      <c r="D71">
        <v>2015</v>
      </c>
      <c r="E71">
        <v>0.79</v>
      </c>
      <c r="F71">
        <v>198</v>
      </c>
      <c r="G71">
        <v>0.67</v>
      </c>
      <c r="H71">
        <v>106</v>
      </c>
      <c r="I71">
        <v>65</v>
      </c>
      <c r="J71" s="10" t="str">
        <f t="shared" si="1"/>
        <v>Fast</v>
      </c>
      <c r="L71" s="7" t="s">
        <v>280</v>
      </c>
      <c r="M71">
        <v>3</v>
      </c>
    </row>
    <row r="72" spans="1:16" outlineLevel="1" x14ac:dyDescent="0.2">
      <c r="A72" t="s">
        <v>590</v>
      </c>
      <c r="B72" t="s">
        <v>276</v>
      </c>
      <c r="C72" t="s">
        <v>277</v>
      </c>
      <c r="D72">
        <v>2016</v>
      </c>
      <c r="E72">
        <v>0.79</v>
      </c>
      <c r="F72">
        <v>263</v>
      </c>
      <c r="G72">
        <v>0.65</v>
      </c>
      <c r="H72">
        <v>118</v>
      </c>
      <c r="I72">
        <v>74</v>
      </c>
      <c r="J72" s="10" t="str">
        <f t="shared" si="1"/>
        <v>Fast</v>
      </c>
      <c r="L72" s="7" t="s">
        <v>473</v>
      </c>
      <c r="M72">
        <v>3</v>
      </c>
    </row>
    <row r="73" spans="1:16" outlineLevel="1" x14ac:dyDescent="0.2">
      <c r="A73" t="s">
        <v>25</v>
      </c>
      <c r="B73" t="s">
        <v>26</v>
      </c>
      <c r="C73" t="s">
        <v>51</v>
      </c>
      <c r="D73">
        <v>2018</v>
      </c>
      <c r="E73">
        <v>0.79</v>
      </c>
      <c r="F73">
        <v>215</v>
      </c>
      <c r="G73">
        <v>0.86</v>
      </c>
      <c r="H73">
        <v>124</v>
      </c>
      <c r="I73">
        <v>86</v>
      </c>
      <c r="J73" s="10" t="str">
        <f t="shared" si="1"/>
        <v>Fast</v>
      </c>
      <c r="L73" s="7" t="s">
        <v>744</v>
      </c>
      <c r="M73">
        <v>3</v>
      </c>
      <c r="O73" s="6" t="s">
        <v>841</v>
      </c>
      <c r="P73" t="s">
        <v>840</v>
      </c>
    </row>
    <row r="74" spans="1:16" outlineLevel="1" x14ac:dyDescent="0.2">
      <c r="A74" t="s">
        <v>759</v>
      </c>
      <c r="B74" t="s">
        <v>298</v>
      </c>
      <c r="C74" t="s">
        <v>51</v>
      </c>
      <c r="D74">
        <v>2018</v>
      </c>
      <c r="E74">
        <v>0.79</v>
      </c>
      <c r="F74">
        <v>226</v>
      </c>
      <c r="G74">
        <v>0.55000000000000004</v>
      </c>
      <c r="H74">
        <v>120</v>
      </c>
      <c r="I74">
        <v>57</v>
      </c>
      <c r="J74" s="10" t="str">
        <f t="shared" si="1"/>
        <v>Fast</v>
      </c>
      <c r="L74" s="7" t="s">
        <v>317</v>
      </c>
      <c r="M74">
        <v>3</v>
      </c>
      <c r="O74" s="7" t="s">
        <v>838</v>
      </c>
      <c r="P74" s="11">
        <v>475</v>
      </c>
    </row>
    <row r="75" spans="1:16" outlineLevel="1" x14ac:dyDescent="0.2">
      <c r="A75" t="s">
        <v>137</v>
      </c>
      <c r="B75" t="s">
        <v>138</v>
      </c>
      <c r="C75" t="s">
        <v>123</v>
      </c>
      <c r="D75">
        <v>2010</v>
      </c>
      <c r="E75">
        <v>0.78</v>
      </c>
      <c r="F75">
        <v>269</v>
      </c>
      <c r="G75">
        <v>0.75</v>
      </c>
      <c r="H75">
        <v>130</v>
      </c>
      <c r="I75">
        <v>72</v>
      </c>
      <c r="J75" s="10" t="str">
        <f t="shared" si="1"/>
        <v>Fast</v>
      </c>
      <c r="L75" s="7" t="s">
        <v>158</v>
      </c>
      <c r="M75">
        <v>3</v>
      </c>
      <c r="O75" s="7" t="s">
        <v>839</v>
      </c>
      <c r="P75" s="11">
        <v>128</v>
      </c>
    </row>
    <row r="76" spans="1:16" outlineLevel="1" x14ac:dyDescent="0.2">
      <c r="A76" t="s">
        <v>209</v>
      </c>
      <c r="B76" t="s">
        <v>210</v>
      </c>
      <c r="C76" t="s">
        <v>86</v>
      </c>
      <c r="D76">
        <v>2012</v>
      </c>
      <c r="E76">
        <v>0.78</v>
      </c>
      <c r="F76">
        <v>193</v>
      </c>
      <c r="G76">
        <v>0.57999999999999996</v>
      </c>
      <c r="H76">
        <v>120</v>
      </c>
      <c r="I76">
        <v>76</v>
      </c>
      <c r="J76" s="10" t="str">
        <f t="shared" si="1"/>
        <v>Fast</v>
      </c>
      <c r="L76" s="7" t="s">
        <v>513</v>
      </c>
      <c r="M76">
        <v>3</v>
      </c>
      <c r="O76" s="7" t="s">
        <v>829</v>
      </c>
      <c r="P76" s="11">
        <v>603</v>
      </c>
    </row>
    <row r="77" spans="1:16" outlineLevel="1" x14ac:dyDescent="0.2">
      <c r="A77" t="s">
        <v>318</v>
      </c>
      <c r="B77" t="s">
        <v>317</v>
      </c>
      <c r="C77" t="s">
        <v>51</v>
      </c>
      <c r="D77">
        <v>2013</v>
      </c>
      <c r="E77">
        <v>0.78</v>
      </c>
      <c r="F77">
        <v>236</v>
      </c>
      <c r="G77">
        <v>0.53</v>
      </c>
      <c r="H77">
        <v>95</v>
      </c>
      <c r="I77">
        <v>69</v>
      </c>
      <c r="J77" s="10" t="str">
        <f t="shared" si="1"/>
        <v>Slow</v>
      </c>
      <c r="L77" s="7" t="s">
        <v>429</v>
      </c>
      <c r="M77">
        <v>3</v>
      </c>
    </row>
    <row r="78" spans="1:16" outlineLevel="1" x14ac:dyDescent="0.2">
      <c r="A78" t="s">
        <v>333</v>
      </c>
      <c r="B78" t="s">
        <v>195</v>
      </c>
      <c r="C78" t="s">
        <v>51</v>
      </c>
      <c r="D78">
        <v>2013</v>
      </c>
      <c r="E78">
        <v>0.78</v>
      </c>
      <c r="F78">
        <v>243</v>
      </c>
      <c r="G78">
        <v>0.55000000000000004</v>
      </c>
      <c r="H78">
        <v>95</v>
      </c>
      <c r="I78">
        <v>81</v>
      </c>
      <c r="J78" s="10" t="str">
        <f t="shared" si="1"/>
        <v>Slow</v>
      </c>
      <c r="L78" s="7" t="s">
        <v>156</v>
      </c>
      <c r="M78">
        <v>3</v>
      </c>
    </row>
    <row r="79" spans="1:16" outlineLevel="1" x14ac:dyDescent="0.2">
      <c r="A79" t="s">
        <v>408</v>
      </c>
      <c r="B79" t="s">
        <v>409</v>
      </c>
      <c r="C79" t="s">
        <v>51</v>
      </c>
      <c r="D79">
        <v>2014</v>
      </c>
      <c r="E79">
        <v>0.78</v>
      </c>
      <c r="F79">
        <v>235</v>
      </c>
      <c r="G79">
        <v>0.5</v>
      </c>
      <c r="H79">
        <v>130</v>
      </c>
      <c r="I79">
        <v>37</v>
      </c>
      <c r="J79" s="10" t="str">
        <f t="shared" si="1"/>
        <v>Fast</v>
      </c>
      <c r="L79" s="7" t="s">
        <v>119</v>
      </c>
      <c r="M79">
        <v>3</v>
      </c>
    </row>
    <row r="80" spans="1:16" outlineLevel="1" x14ac:dyDescent="0.2">
      <c r="A80" t="s">
        <v>416</v>
      </c>
      <c r="B80" t="s">
        <v>417</v>
      </c>
      <c r="C80" t="s">
        <v>63</v>
      </c>
      <c r="D80">
        <v>2014</v>
      </c>
      <c r="E80">
        <v>0.78</v>
      </c>
      <c r="F80">
        <v>246</v>
      </c>
      <c r="G80">
        <v>0.72</v>
      </c>
      <c r="H80">
        <v>118</v>
      </c>
      <c r="I80">
        <v>71</v>
      </c>
      <c r="J80" s="10" t="str">
        <f t="shared" si="1"/>
        <v>Fast</v>
      </c>
      <c r="L80" s="7" t="s">
        <v>103</v>
      </c>
      <c r="M80">
        <v>3</v>
      </c>
    </row>
    <row r="81" spans="1:16" outlineLevel="1" x14ac:dyDescent="0.2">
      <c r="A81" t="s">
        <v>459</v>
      </c>
      <c r="B81" t="s">
        <v>6</v>
      </c>
      <c r="C81" t="s">
        <v>63</v>
      </c>
      <c r="D81">
        <v>2015</v>
      </c>
      <c r="E81">
        <v>0.78</v>
      </c>
      <c r="F81">
        <v>282</v>
      </c>
      <c r="G81">
        <v>0.45</v>
      </c>
      <c r="H81">
        <v>79</v>
      </c>
      <c r="I81">
        <v>84</v>
      </c>
      <c r="J81" s="10" t="str">
        <f t="shared" si="1"/>
        <v>Slow</v>
      </c>
      <c r="L81" s="7" t="s">
        <v>28</v>
      </c>
      <c r="M81">
        <v>3</v>
      </c>
    </row>
    <row r="82" spans="1:16" outlineLevel="1" x14ac:dyDescent="0.2">
      <c r="A82" t="s">
        <v>480</v>
      </c>
      <c r="B82" t="s">
        <v>393</v>
      </c>
      <c r="C82" t="s">
        <v>51</v>
      </c>
      <c r="D82">
        <v>2015</v>
      </c>
      <c r="E82">
        <v>0.78</v>
      </c>
      <c r="F82">
        <v>208</v>
      </c>
      <c r="G82">
        <v>0.68</v>
      </c>
      <c r="H82">
        <v>114</v>
      </c>
      <c r="I82">
        <v>77</v>
      </c>
      <c r="J82" s="10" t="str">
        <f t="shared" si="1"/>
        <v>Fast</v>
      </c>
      <c r="L82" s="7" t="s">
        <v>598</v>
      </c>
      <c r="M82">
        <v>3</v>
      </c>
      <c r="O82" s="6" t="s">
        <v>831</v>
      </c>
      <c r="P82" t="s">
        <v>842</v>
      </c>
    </row>
    <row r="83" spans="1:16" outlineLevel="1" x14ac:dyDescent="0.2">
      <c r="A83" t="s">
        <v>518</v>
      </c>
      <c r="B83" t="s">
        <v>517</v>
      </c>
      <c r="C83" t="s">
        <v>51</v>
      </c>
      <c r="D83">
        <v>2015</v>
      </c>
      <c r="E83">
        <v>0.78</v>
      </c>
      <c r="F83">
        <v>183</v>
      </c>
      <c r="G83">
        <v>0.83</v>
      </c>
      <c r="H83">
        <v>139</v>
      </c>
      <c r="I83">
        <v>68</v>
      </c>
      <c r="J83" s="10" t="str">
        <f t="shared" si="1"/>
        <v>Fast</v>
      </c>
      <c r="L83" s="7" t="s">
        <v>284</v>
      </c>
      <c r="M83">
        <v>3</v>
      </c>
      <c r="O83" s="7">
        <v>2011</v>
      </c>
      <c r="P83" s="12">
        <v>242.56603773584905</v>
      </c>
    </row>
    <row r="84" spans="1:16" outlineLevel="1" x14ac:dyDescent="0.2">
      <c r="A84" t="s">
        <v>736</v>
      </c>
      <c r="B84" t="s">
        <v>582</v>
      </c>
      <c r="C84" t="s">
        <v>51</v>
      </c>
      <c r="D84">
        <v>2018</v>
      </c>
      <c r="E84">
        <v>0.78</v>
      </c>
      <c r="F84">
        <v>209</v>
      </c>
      <c r="G84">
        <v>0.61</v>
      </c>
      <c r="H84">
        <v>100</v>
      </c>
      <c r="I84">
        <v>83</v>
      </c>
      <c r="J84" s="10" t="str">
        <f t="shared" si="1"/>
        <v>Fast</v>
      </c>
      <c r="L84" s="7" t="s">
        <v>258</v>
      </c>
      <c r="M84">
        <v>3</v>
      </c>
      <c r="O84" s="7">
        <v>2013</v>
      </c>
      <c r="P84" s="12">
        <v>234.49295774647888</v>
      </c>
    </row>
    <row r="85" spans="1:16" outlineLevel="1" x14ac:dyDescent="0.2">
      <c r="A85" t="s">
        <v>102</v>
      </c>
      <c r="B85" t="s">
        <v>103</v>
      </c>
      <c r="C85" t="s">
        <v>51</v>
      </c>
      <c r="D85">
        <v>2010</v>
      </c>
      <c r="E85">
        <v>0.77</v>
      </c>
      <c r="F85">
        <v>213</v>
      </c>
      <c r="G85">
        <v>0.82</v>
      </c>
      <c r="H85">
        <v>130</v>
      </c>
      <c r="I85">
        <v>73</v>
      </c>
      <c r="J85" s="10" t="str">
        <f t="shared" si="1"/>
        <v>Fast</v>
      </c>
      <c r="L85" s="7" t="s">
        <v>252</v>
      </c>
      <c r="M85">
        <v>3</v>
      </c>
      <c r="O85" s="7">
        <v>2010</v>
      </c>
      <c r="P85" s="12">
        <v>229.80392156862746</v>
      </c>
    </row>
    <row r="86" spans="1:16" outlineLevel="1" x14ac:dyDescent="0.2">
      <c r="A86" t="s">
        <v>189</v>
      </c>
      <c r="B86" t="s">
        <v>190</v>
      </c>
      <c r="C86" t="s">
        <v>51</v>
      </c>
      <c r="D86">
        <v>2011</v>
      </c>
      <c r="E86">
        <v>0.77</v>
      </c>
      <c r="F86">
        <v>201</v>
      </c>
      <c r="G86">
        <v>0.74</v>
      </c>
      <c r="H86">
        <v>127</v>
      </c>
      <c r="I86">
        <v>38</v>
      </c>
      <c r="J86" s="10" t="str">
        <f t="shared" si="1"/>
        <v>Fast</v>
      </c>
      <c r="L86" s="7" t="s">
        <v>170</v>
      </c>
      <c r="M86">
        <v>3</v>
      </c>
      <c r="O86" s="7">
        <v>2012</v>
      </c>
      <c r="P86" s="12">
        <v>224.4</v>
      </c>
    </row>
    <row r="87" spans="1:16" outlineLevel="1" x14ac:dyDescent="0.2">
      <c r="A87" t="s">
        <v>264</v>
      </c>
      <c r="B87" t="s">
        <v>265</v>
      </c>
      <c r="C87" t="s">
        <v>51</v>
      </c>
      <c r="D87">
        <v>2013</v>
      </c>
      <c r="E87">
        <v>0.77</v>
      </c>
      <c r="F87">
        <v>227</v>
      </c>
      <c r="G87">
        <v>0.7</v>
      </c>
      <c r="H87">
        <v>107</v>
      </c>
      <c r="I87">
        <v>43</v>
      </c>
      <c r="J87" s="10" t="str">
        <f t="shared" si="1"/>
        <v>Fast</v>
      </c>
      <c r="L87" s="7" t="s">
        <v>295</v>
      </c>
      <c r="M87">
        <v>3</v>
      </c>
      <c r="O87" s="7">
        <v>2014</v>
      </c>
      <c r="P87" s="12">
        <v>224.15517241379311</v>
      </c>
    </row>
    <row r="88" spans="1:16" outlineLevel="1" x14ac:dyDescent="0.2">
      <c r="A88" t="s">
        <v>275</v>
      </c>
      <c r="B88" t="s">
        <v>276</v>
      </c>
      <c r="C88" t="s">
        <v>277</v>
      </c>
      <c r="D88">
        <v>2013</v>
      </c>
      <c r="E88">
        <v>0.77</v>
      </c>
      <c r="F88">
        <v>228</v>
      </c>
      <c r="G88">
        <v>0.41</v>
      </c>
      <c r="H88">
        <v>100</v>
      </c>
      <c r="I88">
        <v>73</v>
      </c>
      <c r="J88" s="10" t="str">
        <f t="shared" si="1"/>
        <v>Fast</v>
      </c>
      <c r="L88" s="7" t="s">
        <v>702</v>
      </c>
      <c r="M88">
        <v>3</v>
      </c>
      <c r="O88" s="7">
        <v>2015</v>
      </c>
      <c r="P88" s="12">
        <v>223.36842105263159</v>
      </c>
    </row>
    <row r="89" spans="1:16" outlineLevel="1" x14ac:dyDescent="0.2">
      <c r="A89" t="s">
        <v>412</v>
      </c>
      <c r="B89" t="s">
        <v>413</v>
      </c>
      <c r="C89" t="s">
        <v>63</v>
      </c>
      <c r="D89">
        <v>2014</v>
      </c>
      <c r="E89">
        <v>0.77</v>
      </c>
      <c r="F89">
        <v>225</v>
      </c>
      <c r="G89">
        <v>0.76</v>
      </c>
      <c r="H89">
        <v>144</v>
      </c>
      <c r="I89">
        <v>79</v>
      </c>
      <c r="J89" s="10" t="str">
        <f t="shared" si="1"/>
        <v>Fast</v>
      </c>
      <c r="L89" s="7" t="s">
        <v>545</v>
      </c>
      <c r="M89">
        <v>2</v>
      </c>
      <c r="O89" s="7">
        <v>2017</v>
      </c>
      <c r="P89" s="12">
        <v>222.16923076923078</v>
      </c>
    </row>
    <row r="90" spans="1:16" outlineLevel="1" x14ac:dyDescent="0.2">
      <c r="A90" t="s">
        <v>495</v>
      </c>
      <c r="B90" t="s">
        <v>85</v>
      </c>
      <c r="C90" t="s">
        <v>86</v>
      </c>
      <c r="D90">
        <v>2015</v>
      </c>
      <c r="E90">
        <v>0.77</v>
      </c>
      <c r="F90">
        <v>204</v>
      </c>
      <c r="G90">
        <v>0.36</v>
      </c>
      <c r="H90">
        <v>125</v>
      </c>
      <c r="I90">
        <v>64</v>
      </c>
      <c r="J90" s="10" t="str">
        <f t="shared" si="1"/>
        <v>Fast</v>
      </c>
      <c r="L90" s="7" t="s">
        <v>595</v>
      </c>
      <c r="M90">
        <v>2</v>
      </c>
      <c r="O90" s="7">
        <v>2016</v>
      </c>
      <c r="P90" s="12">
        <v>220.22499999999999</v>
      </c>
    </row>
    <row r="91" spans="1:16" outlineLevel="1" x14ac:dyDescent="0.2">
      <c r="A91" t="s">
        <v>586</v>
      </c>
      <c r="B91" t="s">
        <v>587</v>
      </c>
      <c r="C91" t="s">
        <v>51</v>
      </c>
      <c r="D91">
        <v>2016</v>
      </c>
      <c r="E91">
        <v>0.77</v>
      </c>
      <c r="F91">
        <v>219</v>
      </c>
      <c r="G91">
        <v>0.75</v>
      </c>
      <c r="H91">
        <v>119</v>
      </c>
      <c r="I91">
        <v>81</v>
      </c>
      <c r="J91" s="10" t="str">
        <f t="shared" si="1"/>
        <v>Fast</v>
      </c>
      <c r="L91" s="7" t="s">
        <v>138</v>
      </c>
      <c r="M91">
        <v>2</v>
      </c>
      <c r="O91" s="7">
        <v>2018</v>
      </c>
      <c r="P91" s="12">
        <v>217.1875</v>
      </c>
    </row>
    <row r="92" spans="1:16" outlineLevel="1" x14ac:dyDescent="0.2">
      <c r="A92" t="s">
        <v>611</v>
      </c>
      <c r="B92" t="s">
        <v>314</v>
      </c>
      <c r="C92" t="s">
        <v>51</v>
      </c>
      <c r="D92">
        <v>2016</v>
      </c>
      <c r="E92">
        <v>0.77</v>
      </c>
      <c r="F92">
        <v>246</v>
      </c>
      <c r="G92">
        <v>0.75</v>
      </c>
      <c r="H92">
        <v>126</v>
      </c>
      <c r="I92">
        <v>77</v>
      </c>
      <c r="J92" s="10" t="str">
        <f t="shared" si="1"/>
        <v>Fast</v>
      </c>
      <c r="L92" s="7" t="s">
        <v>683</v>
      </c>
      <c r="M92">
        <v>2</v>
      </c>
      <c r="O92" s="7">
        <v>2019</v>
      </c>
      <c r="P92" s="12">
        <v>200.64516129032259</v>
      </c>
    </row>
    <row r="93" spans="1:16" outlineLevel="1" x14ac:dyDescent="0.2">
      <c r="A93" t="s">
        <v>612</v>
      </c>
      <c r="B93" t="s">
        <v>613</v>
      </c>
      <c r="C93" t="s">
        <v>614</v>
      </c>
      <c r="D93">
        <v>2016</v>
      </c>
      <c r="E93">
        <v>0.77</v>
      </c>
      <c r="F93">
        <v>237</v>
      </c>
      <c r="G93">
        <v>0.47</v>
      </c>
      <c r="H93">
        <v>120</v>
      </c>
      <c r="I93">
        <v>80</v>
      </c>
      <c r="J93" s="10" t="str">
        <f t="shared" si="1"/>
        <v>Fast</v>
      </c>
      <c r="L93" s="7" t="s">
        <v>573</v>
      </c>
      <c r="M93">
        <v>2</v>
      </c>
      <c r="O93" s="7" t="s">
        <v>829</v>
      </c>
      <c r="P93" s="12">
        <v>224.67495854063017</v>
      </c>
    </row>
    <row r="94" spans="1:16" outlineLevel="1" x14ac:dyDescent="0.2">
      <c r="A94" t="s">
        <v>685</v>
      </c>
      <c r="B94" t="s">
        <v>587</v>
      </c>
      <c r="C94" t="s">
        <v>51</v>
      </c>
      <c r="D94">
        <v>2017</v>
      </c>
      <c r="E94">
        <v>0.77</v>
      </c>
      <c r="F94">
        <v>202</v>
      </c>
      <c r="G94">
        <v>0.74</v>
      </c>
      <c r="H94">
        <v>120</v>
      </c>
      <c r="I94">
        <v>66</v>
      </c>
      <c r="J94" s="10" t="str">
        <f t="shared" si="1"/>
        <v>Fast</v>
      </c>
      <c r="L94" s="7" t="s">
        <v>397</v>
      </c>
      <c r="M94">
        <v>2</v>
      </c>
    </row>
    <row r="95" spans="1:16" outlineLevel="1" x14ac:dyDescent="0.2">
      <c r="A95" t="s">
        <v>724</v>
      </c>
      <c r="B95" t="s">
        <v>555</v>
      </c>
      <c r="C95" t="s">
        <v>441</v>
      </c>
      <c r="D95">
        <v>2017</v>
      </c>
      <c r="E95">
        <v>0.77</v>
      </c>
      <c r="F95">
        <v>269</v>
      </c>
      <c r="G95">
        <v>0.82</v>
      </c>
      <c r="H95">
        <v>93</v>
      </c>
      <c r="I95">
        <v>81</v>
      </c>
      <c r="J95" s="10" t="str">
        <f t="shared" si="1"/>
        <v>Slow</v>
      </c>
      <c r="L95" s="7" t="s">
        <v>122</v>
      </c>
      <c r="M95">
        <v>2</v>
      </c>
    </row>
    <row r="96" spans="1:16" outlineLevel="1" x14ac:dyDescent="0.2">
      <c r="A96" t="s">
        <v>725</v>
      </c>
      <c r="B96" t="s">
        <v>651</v>
      </c>
      <c r="C96" t="s">
        <v>51</v>
      </c>
      <c r="D96">
        <v>2017</v>
      </c>
      <c r="E96">
        <v>0.77</v>
      </c>
      <c r="F96">
        <v>225</v>
      </c>
      <c r="G96">
        <v>0.59</v>
      </c>
      <c r="H96">
        <v>105</v>
      </c>
      <c r="I96">
        <v>54</v>
      </c>
      <c r="J96" s="10" t="str">
        <f t="shared" si="1"/>
        <v>Fast</v>
      </c>
      <c r="L96" s="7" t="s">
        <v>276</v>
      </c>
      <c r="M96">
        <v>2</v>
      </c>
    </row>
    <row r="97" spans="1:13" outlineLevel="1" x14ac:dyDescent="0.2">
      <c r="A97" t="s">
        <v>729</v>
      </c>
      <c r="B97" t="s">
        <v>730</v>
      </c>
      <c r="C97" t="s">
        <v>51</v>
      </c>
      <c r="D97">
        <v>2018</v>
      </c>
      <c r="E97">
        <v>0.77</v>
      </c>
      <c r="F97">
        <v>191</v>
      </c>
      <c r="G97">
        <v>0.62</v>
      </c>
      <c r="H97">
        <v>140</v>
      </c>
      <c r="I97">
        <v>72</v>
      </c>
      <c r="J97" s="10" t="str">
        <f t="shared" si="1"/>
        <v>Fast</v>
      </c>
      <c r="L97" s="7" t="s">
        <v>105</v>
      </c>
      <c r="M97">
        <v>2</v>
      </c>
    </row>
    <row r="98" spans="1:13" outlineLevel="1" x14ac:dyDescent="0.2">
      <c r="A98" t="s">
        <v>732</v>
      </c>
      <c r="B98" t="s">
        <v>669</v>
      </c>
      <c r="C98" t="s">
        <v>51</v>
      </c>
      <c r="D98">
        <v>2018</v>
      </c>
      <c r="E98">
        <v>0.77</v>
      </c>
      <c r="F98">
        <v>217</v>
      </c>
      <c r="G98">
        <v>0.52</v>
      </c>
      <c r="H98">
        <v>105</v>
      </c>
      <c r="I98">
        <v>85</v>
      </c>
      <c r="J98" s="10" t="str">
        <f t="shared" si="1"/>
        <v>Fast</v>
      </c>
      <c r="L98" s="7" t="s">
        <v>256</v>
      </c>
      <c r="M98">
        <v>2</v>
      </c>
    </row>
    <row r="99" spans="1:13" outlineLevel="1" x14ac:dyDescent="0.2">
      <c r="A99" t="s">
        <v>685</v>
      </c>
      <c r="B99" t="s">
        <v>587</v>
      </c>
      <c r="C99" t="s">
        <v>51</v>
      </c>
      <c r="D99">
        <v>2018</v>
      </c>
      <c r="E99">
        <v>0.77</v>
      </c>
      <c r="F99">
        <v>202</v>
      </c>
      <c r="G99">
        <v>0.74</v>
      </c>
      <c r="H99">
        <v>120</v>
      </c>
      <c r="I99">
        <v>66</v>
      </c>
      <c r="J99" s="10" t="str">
        <f t="shared" si="1"/>
        <v>Fast</v>
      </c>
      <c r="L99" s="7" t="s">
        <v>422</v>
      </c>
      <c r="M99">
        <v>2</v>
      </c>
    </row>
    <row r="100" spans="1:13" outlineLevel="1" x14ac:dyDescent="0.2">
      <c r="A100" t="s">
        <v>784</v>
      </c>
      <c r="B100" t="s">
        <v>249</v>
      </c>
      <c r="C100" t="s">
        <v>63</v>
      </c>
      <c r="D100">
        <v>2018</v>
      </c>
      <c r="E100">
        <v>0.77</v>
      </c>
      <c r="F100">
        <v>212</v>
      </c>
      <c r="G100">
        <v>0.71</v>
      </c>
      <c r="H100">
        <v>128</v>
      </c>
      <c r="I100">
        <v>75</v>
      </c>
      <c r="J100" s="10" t="str">
        <f t="shared" si="1"/>
        <v>Fast</v>
      </c>
      <c r="L100" s="7" t="s">
        <v>454</v>
      </c>
      <c r="M100">
        <v>2</v>
      </c>
    </row>
    <row r="101" spans="1:13" outlineLevel="1" x14ac:dyDescent="0.2">
      <c r="A101" t="s">
        <v>69</v>
      </c>
      <c r="B101" t="s">
        <v>66</v>
      </c>
      <c r="C101" t="s">
        <v>51</v>
      </c>
      <c r="D101">
        <v>2010</v>
      </c>
      <c r="E101">
        <v>0.76</v>
      </c>
      <c r="F101">
        <v>186</v>
      </c>
      <c r="G101">
        <v>0.81</v>
      </c>
      <c r="H101">
        <v>120</v>
      </c>
      <c r="I101">
        <v>55</v>
      </c>
      <c r="J101" s="10" t="str">
        <f t="shared" si="1"/>
        <v>Fast</v>
      </c>
      <c r="L101" s="7" t="s">
        <v>543</v>
      </c>
      <c r="M101">
        <v>2</v>
      </c>
    </row>
    <row r="102" spans="1:13" outlineLevel="1" x14ac:dyDescent="0.2">
      <c r="A102" t="s">
        <v>89</v>
      </c>
      <c r="B102" t="s">
        <v>90</v>
      </c>
      <c r="C102" t="s">
        <v>51</v>
      </c>
      <c r="D102">
        <v>2010</v>
      </c>
      <c r="E102">
        <v>0.76</v>
      </c>
      <c r="F102">
        <v>200</v>
      </c>
      <c r="G102">
        <v>0.84</v>
      </c>
      <c r="H102">
        <v>120</v>
      </c>
      <c r="I102">
        <v>80</v>
      </c>
      <c r="J102" s="10" t="str">
        <f t="shared" si="1"/>
        <v>Fast</v>
      </c>
      <c r="L102" s="7" t="s">
        <v>73</v>
      </c>
      <c r="M102">
        <v>2</v>
      </c>
    </row>
    <row r="103" spans="1:13" outlineLevel="1" x14ac:dyDescent="0.2">
      <c r="A103" t="s">
        <v>224</v>
      </c>
      <c r="B103" t="s">
        <v>170</v>
      </c>
      <c r="C103" t="s">
        <v>54</v>
      </c>
      <c r="D103">
        <v>2012</v>
      </c>
      <c r="E103">
        <v>0.76</v>
      </c>
      <c r="F103">
        <v>232</v>
      </c>
      <c r="G103">
        <v>0.55000000000000004</v>
      </c>
      <c r="H103">
        <v>127</v>
      </c>
      <c r="I103">
        <v>69</v>
      </c>
      <c r="J103" s="10" t="str">
        <f t="shared" si="1"/>
        <v>Fast</v>
      </c>
      <c r="L103" s="7" t="s">
        <v>476</v>
      </c>
      <c r="M103">
        <v>2</v>
      </c>
    </row>
    <row r="104" spans="1:13" outlineLevel="1" x14ac:dyDescent="0.2">
      <c r="A104" t="s">
        <v>283</v>
      </c>
      <c r="B104" t="s">
        <v>284</v>
      </c>
      <c r="C104" t="s">
        <v>51</v>
      </c>
      <c r="D104">
        <v>2013</v>
      </c>
      <c r="E104">
        <v>0.76</v>
      </c>
      <c r="F104">
        <v>241</v>
      </c>
      <c r="G104">
        <v>0.62</v>
      </c>
      <c r="H104">
        <v>130</v>
      </c>
      <c r="I104">
        <v>65</v>
      </c>
      <c r="J104" s="10" t="str">
        <f t="shared" si="1"/>
        <v>Fast</v>
      </c>
      <c r="L104" s="7" t="s">
        <v>53</v>
      </c>
      <c r="M104">
        <v>2</v>
      </c>
    </row>
    <row r="105" spans="1:13" outlineLevel="1" x14ac:dyDescent="0.2">
      <c r="A105" t="s">
        <v>283</v>
      </c>
      <c r="B105" t="s">
        <v>284</v>
      </c>
      <c r="C105" t="s">
        <v>51</v>
      </c>
      <c r="D105">
        <v>2014</v>
      </c>
      <c r="E105">
        <v>0.76</v>
      </c>
      <c r="F105">
        <v>241</v>
      </c>
      <c r="G105">
        <v>0.62</v>
      </c>
      <c r="H105">
        <v>130</v>
      </c>
      <c r="I105">
        <v>65</v>
      </c>
      <c r="J105" s="10" t="str">
        <f t="shared" si="1"/>
        <v>Fast</v>
      </c>
      <c r="L105" s="7" t="s">
        <v>133</v>
      </c>
      <c r="M105">
        <v>2</v>
      </c>
    </row>
    <row r="106" spans="1:13" outlineLevel="1" x14ac:dyDescent="0.2">
      <c r="A106" t="s">
        <v>392</v>
      </c>
      <c r="B106" t="s">
        <v>393</v>
      </c>
      <c r="C106" t="s">
        <v>51</v>
      </c>
      <c r="D106">
        <v>2014</v>
      </c>
      <c r="E106">
        <v>0.76</v>
      </c>
      <c r="F106">
        <v>178</v>
      </c>
      <c r="G106">
        <v>0.65</v>
      </c>
      <c r="H106">
        <v>100</v>
      </c>
      <c r="I106">
        <v>68</v>
      </c>
      <c r="J106" s="10" t="str">
        <f t="shared" si="1"/>
        <v>Fast</v>
      </c>
      <c r="L106" s="7" t="s">
        <v>810</v>
      </c>
      <c r="M106">
        <v>2</v>
      </c>
    </row>
    <row r="107" spans="1:13" outlineLevel="1" x14ac:dyDescent="0.2">
      <c r="A107" t="s">
        <v>501</v>
      </c>
      <c r="B107" t="s">
        <v>502</v>
      </c>
      <c r="C107" t="s">
        <v>503</v>
      </c>
      <c r="D107">
        <v>2015</v>
      </c>
      <c r="E107">
        <v>0.76</v>
      </c>
      <c r="F107">
        <v>189</v>
      </c>
      <c r="G107">
        <v>0.89</v>
      </c>
      <c r="H107">
        <v>123</v>
      </c>
      <c r="I107">
        <v>58</v>
      </c>
      <c r="J107" s="10" t="str">
        <f t="shared" si="1"/>
        <v>Fast</v>
      </c>
      <c r="L107" s="7" t="s">
        <v>524</v>
      </c>
      <c r="M107">
        <v>2</v>
      </c>
    </row>
    <row r="108" spans="1:13" outlineLevel="1" x14ac:dyDescent="0.2">
      <c r="A108" t="s">
        <v>594</v>
      </c>
      <c r="B108" t="s">
        <v>595</v>
      </c>
      <c r="C108" t="s">
        <v>559</v>
      </c>
      <c r="D108">
        <v>2016</v>
      </c>
      <c r="E108">
        <v>0.76</v>
      </c>
      <c r="F108">
        <v>251</v>
      </c>
      <c r="G108">
        <v>0.67</v>
      </c>
      <c r="H108">
        <v>112</v>
      </c>
      <c r="I108">
        <v>78</v>
      </c>
      <c r="J108" s="10" t="str">
        <f t="shared" si="1"/>
        <v>Fast</v>
      </c>
      <c r="L108" s="7" t="s">
        <v>185</v>
      </c>
      <c r="M108">
        <v>2</v>
      </c>
    </row>
    <row r="109" spans="1:13" outlineLevel="1" x14ac:dyDescent="0.2">
      <c r="A109" t="s">
        <v>602</v>
      </c>
      <c r="B109" t="s">
        <v>165</v>
      </c>
      <c r="C109" t="s">
        <v>51</v>
      </c>
      <c r="D109">
        <v>2016</v>
      </c>
      <c r="E109">
        <v>0.76</v>
      </c>
      <c r="F109">
        <v>218</v>
      </c>
      <c r="G109">
        <v>0.68</v>
      </c>
      <c r="H109">
        <v>120</v>
      </c>
      <c r="I109">
        <v>72</v>
      </c>
      <c r="J109" s="10" t="str">
        <f t="shared" si="1"/>
        <v>Fast</v>
      </c>
      <c r="L109" s="7" t="s">
        <v>710</v>
      </c>
      <c r="M109">
        <v>2</v>
      </c>
    </row>
    <row r="110" spans="1:13" outlineLevel="1" x14ac:dyDescent="0.2">
      <c r="A110" t="s">
        <v>640</v>
      </c>
      <c r="B110" t="s">
        <v>343</v>
      </c>
      <c r="C110" t="s">
        <v>51</v>
      </c>
      <c r="D110">
        <v>2016</v>
      </c>
      <c r="E110">
        <v>0.76</v>
      </c>
      <c r="F110">
        <v>218</v>
      </c>
      <c r="G110">
        <v>0.88</v>
      </c>
      <c r="H110">
        <v>120</v>
      </c>
      <c r="I110">
        <v>70</v>
      </c>
      <c r="J110" s="10" t="str">
        <f t="shared" si="1"/>
        <v>Fast</v>
      </c>
      <c r="L110" s="7" t="s">
        <v>506</v>
      </c>
      <c r="M110">
        <v>2</v>
      </c>
    </row>
    <row r="111" spans="1:13" outlineLevel="1" x14ac:dyDescent="0.2">
      <c r="A111" t="s">
        <v>687</v>
      </c>
      <c r="B111" t="s">
        <v>587</v>
      </c>
      <c r="C111" t="s">
        <v>51</v>
      </c>
      <c r="D111">
        <v>2017</v>
      </c>
      <c r="E111">
        <v>0.76</v>
      </c>
      <c r="F111">
        <v>202</v>
      </c>
      <c r="G111">
        <v>0.77</v>
      </c>
      <c r="H111">
        <v>120</v>
      </c>
      <c r="I111">
        <v>43</v>
      </c>
      <c r="J111" s="10" t="str">
        <f t="shared" si="1"/>
        <v>Fast</v>
      </c>
      <c r="L111" s="7" t="s">
        <v>674</v>
      </c>
      <c r="M111">
        <v>2</v>
      </c>
    </row>
    <row r="112" spans="1:13" outlineLevel="1" x14ac:dyDescent="0.2">
      <c r="A112" t="s">
        <v>11</v>
      </c>
      <c r="B112" t="s">
        <v>12</v>
      </c>
      <c r="C112" t="s">
        <v>83</v>
      </c>
      <c r="D112">
        <v>2017</v>
      </c>
      <c r="E112">
        <v>0.76</v>
      </c>
      <c r="F112">
        <v>261</v>
      </c>
      <c r="G112">
        <v>0.56999999999999995</v>
      </c>
      <c r="H112">
        <v>135</v>
      </c>
      <c r="I112">
        <v>67</v>
      </c>
      <c r="J112" s="10" t="str">
        <f t="shared" si="1"/>
        <v>Fast</v>
      </c>
      <c r="L112" s="7" t="s">
        <v>268</v>
      </c>
      <c r="M112">
        <v>2</v>
      </c>
    </row>
    <row r="113" spans="1:13" outlineLevel="1" x14ac:dyDescent="0.2">
      <c r="A113" t="s">
        <v>745</v>
      </c>
      <c r="B113" t="s">
        <v>744</v>
      </c>
      <c r="C113" t="s">
        <v>51</v>
      </c>
      <c r="D113">
        <v>2018</v>
      </c>
      <c r="E113">
        <v>0.76</v>
      </c>
      <c r="F113">
        <v>209</v>
      </c>
      <c r="G113">
        <v>0.7</v>
      </c>
      <c r="H113">
        <v>116</v>
      </c>
      <c r="I113">
        <v>84</v>
      </c>
      <c r="J113" s="10" t="str">
        <f t="shared" si="1"/>
        <v>Fast</v>
      </c>
      <c r="L113" s="7" t="s">
        <v>425</v>
      </c>
      <c r="M113">
        <v>2</v>
      </c>
    </row>
    <row r="114" spans="1:13" outlineLevel="1" x14ac:dyDescent="0.2">
      <c r="A114" t="s">
        <v>749</v>
      </c>
      <c r="B114" t="s">
        <v>76</v>
      </c>
      <c r="C114" t="s">
        <v>51</v>
      </c>
      <c r="D114">
        <v>2018</v>
      </c>
      <c r="E114">
        <v>0.76</v>
      </c>
      <c r="F114">
        <v>169</v>
      </c>
      <c r="G114">
        <v>0.87</v>
      </c>
      <c r="H114">
        <v>100</v>
      </c>
      <c r="I114">
        <v>64</v>
      </c>
      <c r="J114" s="10" t="str">
        <f t="shared" si="1"/>
        <v>Fast</v>
      </c>
      <c r="L114" s="7" t="s">
        <v>510</v>
      </c>
      <c r="M114">
        <v>2</v>
      </c>
    </row>
    <row r="115" spans="1:13" outlineLevel="1" x14ac:dyDescent="0.2">
      <c r="A115" t="s">
        <v>755</v>
      </c>
      <c r="B115" t="s">
        <v>756</v>
      </c>
      <c r="C115" t="s">
        <v>605</v>
      </c>
      <c r="D115">
        <v>2018</v>
      </c>
      <c r="E115">
        <v>0.76</v>
      </c>
      <c r="F115">
        <v>210</v>
      </c>
      <c r="G115">
        <v>0.72</v>
      </c>
      <c r="H115">
        <v>105</v>
      </c>
      <c r="I115">
        <v>68</v>
      </c>
      <c r="J115" s="10" t="str">
        <f t="shared" si="1"/>
        <v>Fast</v>
      </c>
      <c r="L115" s="7" t="s">
        <v>36</v>
      </c>
      <c r="M115">
        <v>2</v>
      </c>
    </row>
    <row r="116" spans="1:13" outlineLevel="1" x14ac:dyDescent="0.2">
      <c r="A116" t="s">
        <v>817</v>
      </c>
      <c r="B116" t="s">
        <v>34</v>
      </c>
      <c r="C116" t="s">
        <v>63</v>
      </c>
      <c r="D116">
        <v>2019</v>
      </c>
      <c r="E116">
        <v>0.76</v>
      </c>
      <c r="F116">
        <v>189</v>
      </c>
      <c r="G116">
        <v>0.32</v>
      </c>
      <c r="H116">
        <v>91</v>
      </c>
      <c r="I116">
        <v>99</v>
      </c>
      <c r="J116" s="10" t="str">
        <f t="shared" si="1"/>
        <v>Slow</v>
      </c>
      <c r="L116" s="7" t="s">
        <v>618</v>
      </c>
      <c r="M116">
        <v>2</v>
      </c>
    </row>
    <row r="117" spans="1:13" outlineLevel="1" x14ac:dyDescent="0.2">
      <c r="A117" t="s">
        <v>825</v>
      </c>
      <c r="B117" t="s">
        <v>16</v>
      </c>
      <c r="C117" t="s">
        <v>86</v>
      </c>
      <c r="D117">
        <v>2019</v>
      </c>
      <c r="E117">
        <v>0.76</v>
      </c>
      <c r="F117">
        <v>191</v>
      </c>
      <c r="G117">
        <v>0.54</v>
      </c>
      <c r="H117">
        <v>117</v>
      </c>
      <c r="I117">
        <v>95</v>
      </c>
      <c r="J117" s="10" t="str">
        <f t="shared" si="1"/>
        <v>Fast</v>
      </c>
      <c r="L117" s="7" t="s">
        <v>338</v>
      </c>
      <c r="M117">
        <v>2</v>
      </c>
    </row>
    <row r="118" spans="1:13" outlineLevel="1" x14ac:dyDescent="0.2">
      <c r="A118" t="s">
        <v>72</v>
      </c>
      <c r="B118" t="s">
        <v>73</v>
      </c>
      <c r="C118" t="s">
        <v>74</v>
      </c>
      <c r="D118">
        <v>2010</v>
      </c>
      <c r="E118">
        <v>0.75</v>
      </c>
      <c r="F118">
        <v>263</v>
      </c>
      <c r="G118">
        <v>0.93</v>
      </c>
      <c r="H118">
        <v>87</v>
      </c>
      <c r="I118">
        <v>82</v>
      </c>
      <c r="J118" s="10" t="str">
        <f t="shared" si="1"/>
        <v>Slow</v>
      </c>
      <c r="L118" s="7" t="s">
        <v>320</v>
      </c>
      <c r="M118">
        <v>2</v>
      </c>
    </row>
    <row r="119" spans="1:13" outlineLevel="1" x14ac:dyDescent="0.2">
      <c r="A119" t="s">
        <v>93</v>
      </c>
      <c r="B119" t="s">
        <v>90</v>
      </c>
      <c r="C119" t="s">
        <v>51</v>
      </c>
      <c r="D119">
        <v>2010</v>
      </c>
      <c r="E119">
        <v>0.75</v>
      </c>
      <c r="F119">
        <v>172</v>
      </c>
      <c r="G119">
        <v>0.84</v>
      </c>
      <c r="H119">
        <v>120</v>
      </c>
      <c r="I119">
        <v>62</v>
      </c>
      <c r="J119" s="10" t="str">
        <f t="shared" si="1"/>
        <v>Fast</v>
      </c>
      <c r="L119" s="7" t="s">
        <v>117</v>
      </c>
      <c r="M119">
        <v>2</v>
      </c>
    </row>
    <row r="120" spans="1:13" outlineLevel="1" x14ac:dyDescent="0.2">
      <c r="A120" t="s">
        <v>124</v>
      </c>
      <c r="B120" t="s">
        <v>125</v>
      </c>
      <c r="C120" t="s">
        <v>51</v>
      </c>
      <c r="D120">
        <v>2010</v>
      </c>
      <c r="E120">
        <v>0.75</v>
      </c>
      <c r="F120">
        <v>203</v>
      </c>
      <c r="G120">
        <v>0.78</v>
      </c>
      <c r="H120">
        <v>120</v>
      </c>
      <c r="I120">
        <v>77</v>
      </c>
      <c r="J120" s="10" t="str">
        <f t="shared" si="1"/>
        <v>Fast</v>
      </c>
      <c r="L120" s="7" t="s">
        <v>145</v>
      </c>
      <c r="M120">
        <v>2</v>
      </c>
    </row>
    <row r="121" spans="1:13" outlineLevel="1" x14ac:dyDescent="0.2">
      <c r="A121" t="s">
        <v>178</v>
      </c>
      <c r="B121" t="s">
        <v>90</v>
      </c>
      <c r="C121" t="s">
        <v>51</v>
      </c>
      <c r="D121">
        <v>2011</v>
      </c>
      <c r="E121">
        <v>0.75</v>
      </c>
      <c r="F121">
        <v>220</v>
      </c>
      <c r="G121">
        <v>0.73</v>
      </c>
      <c r="H121">
        <v>120</v>
      </c>
      <c r="I121">
        <v>64</v>
      </c>
      <c r="J121" s="10" t="str">
        <f t="shared" si="1"/>
        <v>Fast</v>
      </c>
      <c r="L121" s="7" t="s">
        <v>553</v>
      </c>
      <c r="M121">
        <v>2</v>
      </c>
    </row>
    <row r="122" spans="1:13" outlineLevel="1" x14ac:dyDescent="0.2">
      <c r="A122" t="s">
        <v>184</v>
      </c>
      <c r="B122" t="s">
        <v>185</v>
      </c>
      <c r="C122" t="s">
        <v>51</v>
      </c>
      <c r="D122">
        <v>2011</v>
      </c>
      <c r="E122">
        <v>0.75</v>
      </c>
      <c r="F122">
        <v>262</v>
      </c>
      <c r="G122">
        <v>0.74</v>
      </c>
      <c r="H122">
        <v>130</v>
      </c>
      <c r="I122">
        <v>72</v>
      </c>
      <c r="J122" s="10" t="str">
        <f t="shared" si="1"/>
        <v>Fast</v>
      </c>
      <c r="L122" s="7" t="s">
        <v>41</v>
      </c>
      <c r="M122">
        <v>2</v>
      </c>
    </row>
    <row r="123" spans="1:13" outlineLevel="1" x14ac:dyDescent="0.2">
      <c r="A123" t="s">
        <v>234</v>
      </c>
      <c r="B123" t="s">
        <v>190</v>
      </c>
      <c r="C123" t="s">
        <v>51</v>
      </c>
      <c r="D123">
        <v>2012</v>
      </c>
      <c r="E123">
        <v>0.75</v>
      </c>
      <c r="F123">
        <v>211</v>
      </c>
      <c r="G123">
        <v>0.72</v>
      </c>
      <c r="H123">
        <v>125</v>
      </c>
      <c r="I123">
        <v>73</v>
      </c>
      <c r="J123" s="10" t="str">
        <f t="shared" si="1"/>
        <v>Fast</v>
      </c>
      <c r="L123" s="7" t="s">
        <v>125</v>
      </c>
      <c r="M123">
        <v>2</v>
      </c>
    </row>
    <row r="124" spans="1:13" outlineLevel="1" x14ac:dyDescent="0.2">
      <c r="A124">
        <v>43776</v>
      </c>
      <c r="B124" t="s">
        <v>147</v>
      </c>
      <c r="C124" t="s">
        <v>51</v>
      </c>
      <c r="D124">
        <v>2015</v>
      </c>
      <c r="E124">
        <v>0.75</v>
      </c>
      <c r="F124">
        <v>214</v>
      </c>
      <c r="G124">
        <v>0.71</v>
      </c>
      <c r="H124">
        <v>136</v>
      </c>
      <c r="I124">
        <v>72</v>
      </c>
      <c r="J124" s="10" t="str">
        <f t="shared" si="1"/>
        <v>Fast</v>
      </c>
      <c r="L124" s="7" t="s">
        <v>621</v>
      </c>
      <c r="M124">
        <v>2</v>
      </c>
    </row>
    <row r="125" spans="1:13" outlineLevel="1" x14ac:dyDescent="0.2">
      <c r="A125" t="s">
        <v>514</v>
      </c>
      <c r="B125" t="s">
        <v>34</v>
      </c>
      <c r="C125" t="s">
        <v>63</v>
      </c>
      <c r="D125">
        <v>2015</v>
      </c>
      <c r="E125">
        <v>0.75</v>
      </c>
      <c r="F125">
        <v>235</v>
      </c>
      <c r="G125">
        <v>0.79</v>
      </c>
      <c r="H125">
        <v>120</v>
      </c>
      <c r="I125">
        <v>81</v>
      </c>
      <c r="J125" s="10" t="str">
        <f t="shared" si="1"/>
        <v>Fast</v>
      </c>
      <c r="L125" s="7" t="s">
        <v>651</v>
      </c>
      <c r="M125">
        <v>2</v>
      </c>
    </row>
    <row r="126" spans="1:13" outlineLevel="1" x14ac:dyDescent="0.2">
      <c r="A126" t="s">
        <v>514</v>
      </c>
      <c r="B126" t="s">
        <v>34</v>
      </c>
      <c r="C126" t="s">
        <v>63</v>
      </c>
      <c r="D126">
        <v>2015</v>
      </c>
      <c r="E126">
        <v>0.75</v>
      </c>
      <c r="F126">
        <v>235</v>
      </c>
      <c r="G126">
        <v>0.79</v>
      </c>
      <c r="H126">
        <v>120</v>
      </c>
      <c r="I126">
        <v>66</v>
      </c>
      <c r="J126" s="10" t="str">
        <f t="shared" si="1"/>
        <v>Fast</v>
      </c>
      <c r="L126" s="7" t="s">
        <v>80</v>
      </c>
      <c r="M126">
        <v>2</v>
      </c>
    </row>
    <row r="127" spans="1:13" outlineLevel="1" x14ac:dyDescent="0.2">
      <c r="A127" t="s">
        <v>549</v>
      </c>
      <c r="B127" t="s">
        <v>16</v>
      </c>
      <c r="C127" t="s">
        <v>86</v>
      </c>
      <c r="D127">
        <v>2015</v>
      </c>
      <c r="E127">
        <v>0.75</v>
      </c>
      <c r="F127">
        <v>207</v>
      </c>
      <c r="G127">
        <v>0.75</v>
      </c>
      <c r="H127">
        <v>150</v>
      </c>
      <c r="I127">
        <v>78</v>
      </c>
      <c r="J127" s="10" t="str">
        <f t="shared" si="1"/>
        <v>Fast</v>
      </c>
      <c r="L127" s="7" t="s">
        <v>22</v>
      </c>
      <c r="M127">
        <v>2</v>
      </c>
    </row>
    <row r="128" spans="1:13" outlineLevel="1" x14ac:dyDescent="0.2">
      <c r="A128" t="s">
        <v>575</v>
      </c>
      <c r="B128" t="s">
        <v>61</v>
      </c>
      <c r="C128" t="s">
        <v>51</v>
      </c>
      <c r="D128">
        <v>2016</v>
      </c>
      <c r="E128">
        <v>0.75</v>
      </c>
      <c r="F128">
        <v>203</v>
      </c>
      <c r="G128">
        <v>0.7</v>
      </c>
      <c r="H128">
        <v>121</v>
      </c>
      <c r="I128">
        <v>34</v>
      </c>
      <c r="J128" s="10" t="str">
        <f t="shared" si="1"/>
        <v>Fast</v>
      </c>
      <c r="L128" s="7" t="s">
        <v>627</v>
      </c>
      <c r="M128">
        <v>2</v>
      </c>
    </row>
    <row r="129" spans="1:13" outlineLevel="1" x14ac:dyDescent="0.2">
      <c r="A129" t="s">
        <v>581</v>
      </c>
      <c r="B129" t="s">
        <v>582</v>
      </c>
      <c r="C129" t="s">
        <v>51</v>
      </c>
      <c r="D129">
        <v>2016</v>
      </c>
      <c r="E129">
        <v>0.75</v>
      </c>
      <c r="F129">
        <v>192</v>
      </c>
      <c r="G129">
        <v>0.69</v>
      </c>
      <c r="H129">
        <v>91</v>
      </c>
      <c r="I129">
        <v>41</v>
      </c>
      <c r="J129" s="10" t="str">
        <f t="shared" si="1"/>
        <v>Slow</v>
      </c>
      <c r="L129" s="7" t="s">
        <v>814</v>
      </c>
      <c r="M129">
        <v>1</v>
      </c>
    </row>
    <row r="130" spans="1:13" outlineLevel="1" x14ac:dyDescent="0.2">
      <c r="A130" t="s">
        <v>617</v>
      </c>
      <c r="B130" t="s">
        <v>618</v>
      </c>
      <c r="C130" t="s">
        <v>51</v>
      </c>
      <c r="D130">
        <v>2016</v>
      </c>
      <c r="E130">
        <v>0.75</v>
      </c>
      <c r="F130">
        <v>166</v>
      </c>
      <c r="G130">
        <v>0.88</v>
      </c>
      <c r="H130">
        <v>108</v>
      </c>
      <c r="I130">
        <v>73</v>
      </c>
      <c r="J130" s="10" t="str">
        <f t="shared" si="1"/>
        <v>Fast</v>
      </c>
      <c r="L130" s="7" t="s">
        <v>754</v>
      </c>
      <c r="M130">
        <v>1</v>
      </c>
    </row>
    <row r="131" spans="1:13" outlineLevel="1" x14ac:dyDescent="0.2">
      <c r="A131" t="s">
        <v>549</v>
      </c>
      <c r="B131" t="s">
        <v>16</v>
      </c>
      <c r="C131" t="s">
        <v>86</v>
      </c>
      <c r="D131">
        <v>2016</v>
      </c>
      <c r="E131">
        <v>0.75</v>
      </c>
      <c r="F131">
        <v>207</v>
      </c>
      <c r="G131">
        <v>0.75</v>
      </c>
      <c r="H131">
        <v>150</v>
      </c>
      <c r="I131">
        <v>78</v>
      </c>
      <c r="J131" s="10" t="str">
        <f t="shared" ref="J131:J194" si="2">IF(H131&lt;100,"Slow","Fast")</f>
        <v>Fast</v>
      </c>
      <c r="L131" s="7" t="s">
        <v>604</v>
      </c>
      <c r="M131">
        <v>1</v>
      </c>
    </row>
    <row r="132" spans="1:13" outlineLevel="1" x14ac:dyDescent="0.2">
      <c r="A132" t="s">
        <v>17</v>
      </c>
      <c r="B132" t="s">
        <v>18</v>
      </c>
      <c r="C132" t="s">
        <v>437</v>
      </c>
      <c r="D132">
        <v>2017</v>
      </c>
      <c r="E132">
        <v>0.75</v>
      </c>
      <c r="F132">
        <v>245</v>
      </c>
      <c r="G132">
        <v>0.52</v>
      </c>
      <c r="H132">
        <v>95</v>
      </c>
      <c r="I132">
        <v>86</v>
      </c>
      <c r="J132" s="10" t="str">
        <f t="shared" si="2"/>
        <v>Slow</v>
      </c>
      <c r="L132" s="7" t="s">
        <v>413</v>
      </c>
      <c r="M132">
        <v>1</v>
      </c>
    </row>
    <row r="133" spans="1:13" outlineLevel="1" x14ac:dyDescent="0.2">
      <c r="A133" t="s">
        <v>735</v>
      </c>
      <c r="B133" t="s">
        <v>674</v>
      </c>
      <c r="C133" t="s">
        <v>675</v>
      </c>
      <c r="D133">
        <v>2018</v>
      </c>
      <c r="E133">
        <v>0.75</v>
      </c>
      <c r="F133">
        <v>186</v>
      </c>
      <c r="G133">
        <v>0.64</v>
      </c>
      <c r="H133">
        <v>100</v>
      </c>
      <c r="I133">
        <v>64</v>
      </c>
      <c r="J133" s="10" t="str">
        <f t="shared" si="2"/>
        <v>Fast</v>
      </c>
      <c r="L133" s="7" t="s">
        <v>613</v>
      </c>
      <c r="M133">
        <v>1</v>
      </c>
    </row>
    <row r="134" spans="1:13" outlineLevel="1" x14ac:dyDescent="0.2">
      <c r="A134" t="s">
        <v>758</v>
      </c>
      <c r="B134" t="s">
        <v>298</v>
      </c>
      <c r="C134" t="s">
        <v>51</v>
      </c>
      <c r="D134">
        <v>2018</v>
      </c>
      <c r="E134">
        <v>0.75</v>
      </c>
      <c r="F134">
        <v>294</v>
      </c>
      <c r="G134">
        <v>0.57999999999999996</v>
      </c>
      <c r="H134">
        <v>97</v>
      </c>
      <c r="I134">
        <v>62</v>
      </c>
      <c r="J134" s="10" t="str">
        <f t="shared" si="2"/>
        <v>Slow</v>
      </c>
      <c r="L134" s="7" t="s">
        <v>730</v>
      </c>
      <c r="M134">
        <v>1</v>
      </c>
    </row>
    <row r="135" spans="1:13" outlineLevel="1" x14ac:dyDescent="0.2">
      <c r="A135" t="s">
        <v>771</v>
      </c>
      <c r="B135" t="s">
        <v>772</v>
      </c>
      <c r="C135" t="s">
        <v>773</v>
      </c>
      <c r="D135">
        <v>2018</v>
      </c>
      <c r="E135">
        <v>0.75</v>
      </c>
      <c r="F135">
        <v>248</v>
      </c>
      <c r="G135">
        <v>0.76</v>
      </c>
      <c r="H135">
        <v>110</v>
      </c>
      <c r="I135">
        <v>53</v>
      </c>
      <c r="J135" s="10" t="str">
        <f t="shared" si="2"/>
        <v>Fast</v>
      </c>
      <c r="L135" s="7" t="s">
        <v>558</v>
      </c>
      <c r="M135">
        <v>1</v>
      </c>
    </row>
    <row r="136" spans="1:13" outlineLevel="1" x14ac:dyDescent="0.2">
      <c r="A136" t="s">
        <v>800</v>
      </c>
      <c r="B136" t="s">
        <v>6</v>
      </c>
      <c r="C136" t="s">
        <v>63</v>
      </c>
      <c r="D136">
        <v>2019</v>
      </c>
      <c r="E136">
        <v>0.75</v>
      </c>
      <c r="F136">
        <v>206</v>
      </c>
      <c r="G136">
        <v>0.79</v>
      </c>
      <c r="H136">
        <v>95</v>
      </c>
      <c r="I136">
        <v>75</v>
      </c>
      <c r="J136" s="10" t="str">
        <f t="shared" si="2"/>
        <v>Slow</v>
      </c>
      <c r="L136" s="7" t="s">
        <v>359</v>
      </c>
      <c r="M136">
        <v>1</v>
      </c>
    </row>
    <row r="137" spans="1:13" outlineLevel="1" x14ac:dyDescent="0.2">
      <c r="A137" t="s">
        <v>177</v>
      </c>
      <c r="B137" t="s">
        <v>90</v>
      </c>
      <c r="C137" t="s">
        <v>51</v>
      </c>
      <c r="D137">
        <v>2011</v>
      </c>
      <c r="E137">
        <v>0.74</v>
      </c>
      <c r="F137">
        <v>205</v>
      </c>
      <c r="G137">
        <v>0.82</v>
      </c>
      <c r="H137">
        <v>120</v>
      </c>
      <c r="I137">
        <v>72</v>
      </c>
      <c r="J137" s="10" t="str">
        <f t="shared" si="2"/>
        <v>Fast</v>
      </c>
      <c r="L137" s="7" t="s">
        <v>30</v>
      </c>
      <c r="M137">
        <v>1</v>
      </c>
    </row>
    <row r="138" spans="1:13" outlineLevel="1" x14ac:dyDescent="0.2">
      <c r="A138" t="s">
        <v>232</v>
      </c>
      <c r="B138" t="s">
        <v>34</v>
      </c>
      <c r="C138" t="s">
        <v>63</v>
      </c>
      <c r="D138">
        <v>2012</v>
      </c>
      <c r="E138">
        <v>0.74</v>
      </c>
      <c r="F138">
        <v>231</v>
      </c>
      <c r="G138">
        <v>0.75</v>
      </c>
      <c r="H138">
        <v>110</v>
      </c>
      <c r="I138">
        <v>79</v>
      </c>
      <c r="J138" s="10" t="str">
        <f t="shared" si="2"/>
        <v>Fast</v>
      </c>
      <c r="L138" s="7" t="s">
        <v>738</v>
      </c>
      <c r="M138">
        <v>1</v>
      </c>
    </row>
    <row r="139" spans="1:13" outlineLevel="1" x14ac:dyDescent="0.2">
      <c r="A139" t="s">
        <v>395</v>
      </c>
      <c r="B139" t="s">
        <v>165</v>
      </c>
      <c r="C139" t="s">
        <v>51</v>
      </c>
      <c r="D139">
        <v>2014</v>
      </c>
      <c r="E139">
        <v>0.74</v>
      </c>
      <c r="F139">
        <v>207</v>
      </c>
      <c r="G139">
        <v>0.73</v>
      </c>
      <c r="H139">
        <v>96</v>
      </c>
      <c r="I139">
        <v>28</v>
      </c>
      <c r="J139" s="10" t="str">
        <f t="shared" si="2"/>
        <v>Slow</v>
      </c>
      <c r="L139" s="7" t="s">
        <v>203</v>
      </c>
      <c r="M139">
        <v>1</v>
      </c>
    </row>
    <row r="140" spans="1:13" outlineLevel="1" x14ac:dyDescent="0.2">
      <c r="A140" t="s">
        <v>415</v>
      </c>
      <c r="B140" t="s">
        <v>34</v>
      </c>
      <c r="C140" t="s">
        <v>63</v>
      </c>
      <c r="D140">
        <v>2014</v>
      </c>
      <c r="E140">
        <v>0.74</v>
      </c>
      <c r="F140">
        <v>190</v>
      </c>
      <c r="G140">
        <v>0.71</v>
      </c>
      <c r="H140">
        <v>120</v>
      </c>
      <c r="I140">
        <v>78</v>
      </c>
      <c r="J140" s="10" t="str">
        <f t="shared" si="2"/>
        <v>Fast</v>
      </c>
      <c r="L140" s="7" t="s">
        <v>172</v>
      </c>
      <c r="M140">
        <v>1</v>
      </c>
    </row>
    <row r="141" spans="1:13" outlineLevel="1" x14ac:dyDescent="0.2">
      <c r="A141" t="s">
        <v>449</v>
      </c>
      <c r="B141" t="s">
        <v>26</v>
      </c>
      <c r="C141" t="s">
        <v>51</v>
      </c>
      <c r="D141">
        <v>2015</v>
      </c>
      <c r="E141">
        <v>0.74</v>
      </c>
      <c r="F141">
        <v>213</v>
      </c>
      <c r="G141">
        <v>0.87</v>
      </c>
      <c r="H141">
        <v>122</v>
      </c>
      <c r="I141">
        <v>77</v>
      </c>
      <c r="J141" s="10" t="str">
        <f t="shared" si="2"/>
        <v>Fast</v>
      </c>
      <c r="L141" s="7" t="s">
        <v>347</v>
      </c>
      <c r="M141">
        <v>1</v>
      </c>
    </row>
    <row r="142" spans="1:13" outlineLevel="1" x14ac:dyDescent="0.2">
      <c r="A142" t="s">
        <v>497</v>
      </c>
      <c r="B142" t="s">
        <v>85</v>
      </c>
      <c r="C142" t="s">
        <v>86</v>
      </c>
      <c r="D142">
        <v>2015</v>
      </c>
      <c r="E142">
        <v>0.74</v>
      </c>
      <c r="F142">
        <v>199</v>
      </c>
      <c r="G142">
        <v>0.78</v>
      </c>
      <c r="H142">
        <v>113</v>
      </c>
      <c r="I142">
        <v>60</v>
      </c>
      <c r="J142" s="10" t="str">
        <f t="shared" si="2"/>
        <v>Fast</v>
      </c>
      <c r="L142" s="7" t="s">
        <v>601</v>
      </c>
      <c r="M142">
        <v>1</v>
      </c>
    </row>
    <row r="143" spans="1:13" outlineLevel="1" x14ac:dyDescent="0.2">
      <c r="A143" t="s">
        <v>596</v>
      </c>
      <c r="B143" t="s">
        <v>473</v>
      </c>
      <c r="C143" t="s">
        <v>51</v>
      </c>
      <c r="D143">
        <v>2016</v>
      </c>
      <c r="E143">
        <v>0.74</v>
      </c>
      <c r="F143">
        <v>217</v>
      </c>
      <c r="G143">
        <v>0.71</v>
      </c>
      <c r="H143">
        <v>118</v>
      </c>
      <c r="I143">
        <v>50</v>
      </c>
      <c r="J143" s="10" t="str">
        <f t="shared" si="2"/>
        <v>Fast</v>
      </c>
      <c r="L143" s="7" t="s">
        <v>352</v>
      </c>
      <c r="M143">
        <v>1</v>
      </c>
    </row>
    <row r="144" spans="1:13" outlineLevel="1" x14ac:dyDescent="0.2">
      <c r="A144" t="s">
        <v>667</v>
      </c>
      <c r="B144" t="s">
        <v>26</v>
      </c>
      <c r="C144" t="s">
        <v>51</v>
      </c>
      <c r="D144">
        <v>2017</v>
      </c>
      <c r="E144">
        <v>0.74</v>
      </c>
      <c r="F144">
        <v>231</v>
      </c>
      <c r="G144">
        <v>0.8</v>
      </c>
      <c r="H144">
        <v>104</v>
      </c>
      <c r="I144">
        <v>75</v>
      </c>
      <c r="J144" s="10" t="str">
        <f t="shared" si="2"/>
        <v>Fast</v>
      </c>
      <c r="L144" s="7" t="s">
        <v>487</v>
      </c>
      <c r="M144">
        <v>1</v>
      </c>
    </row>
    <row r="145" spans="1:13" outlineLevel="1" x14ac:dyDescent="0.2">
      <c r="A145" t="s">
        <v>688</v>
      </c>
      <c r="B145" t="s">
        <v>468</v>
      </c>
      <c r="C145" t="s">
        <v>51</v>
      </c>
      <c r="D145">
        <v>2017</v>
      </c>
      <c r="E145">
        <v>0.74</v>
      </c>
      <c r="F145">
        <v>189</v>
      </c>
      <c r="G145">
        <v>0.53</v>
      </c>
      <c r="H145">
        <v>124</v>
      </c>
      <c r="I145">
        <v>59</v>
      </c>
      <c r="J145" s="10" t="str">
        <f t="shared" si="2"/>
        <v>Fast</v>
      </c>
      <c r="L145" s="7" t="s">
        <v>292</v>
      </c>
      <c r="M145">
        <v>1</v>
      </c>
    </row>
    <row r="146" spans="1:13" outlineLevel="1" x14ac:dyDescent="0.2">
      <c r="A146" t="s">
        <v>689</v>
      </c>
      <c r="B146" t="s">
        <v>690</v>
      </c>
      <c r="C146" t="s">
        <v>101</v>
      </c>
      <c r="D146">
        <v>2017</v>
      </c>
      <c r="E146">
        <v>0.74</v>
      </c>
      <c r="F146">
        <v>184</v>
      </c>
      <c r="G146">
        <v>0.9</v>
      </c>
      <c r="H146">
        <v>110</v>
      </c>
      <c r="I146">
        <v>55</v>
      </c>
      <c r="J146" s="10" t="str">
        <f t="shared" si="2"/>
        <v>Fast</v>
      </c>
      <c r="L146" s="7" t="s">
        <v>100</v>
      </c>
      <c r="M146">
        <v>1</v>
      </c>
    </row>
    <row r="147" spans="1:13" outlineLevel="1" x14ac:dyDescent="0.2">
      <c r="A147" t="s">
        <v>7</v>
      </c>
      <c r="B147" t="s">
        <v>8</v>
      </c>
      <c r="C147" t="s">
        <v>51</v>
      </c>
      <c r="D147">
        <v>2017</v>
      </c>
      <c r="E147">
        <v>0.74</v>
      </c>
      <c r="F147">
        <v>184</v>
      </c>
      <c r="G147">
        <v>0.79</v>
      </c>
      <c r="H147">
        <v>104</v>
      </c>
      <c r="I147">
        <v>75</v>
      </c>
      <c r="J147" s="10" t="str">
        <f t="shared" si="2"/>
        <v>Fast</v>
      </c>
      <c r="L147" s="7" t="s">
        <v>341</v>
      </c>
      <c r="M147">
        <v>1</v>
      </c>
    </row>
    <row r="148" spans="1:13" outlineLevel="1" x14ac:dyDescent="0.2">
      <c r="A148" t="s">
        <v>709</v>
      </c>
      <c r="B148" t="s">
        <v>710</v>
      </c>
      <c r="C148" t="s">
        <v>51</v>
      </c>
      <c r="D148">
        <v>2017</v>
      </c>
      <c r="E148">
        <v>0.74</v>
      </c>
      <c r="F148">
        <v>188</v>
      </c>
      <c r="G148">
        <v>0.42</v>
      </c>
      <c r="H148">
        <v>86</v>
      </c>
      <c r="I148">
        <v>64</v>
      </c>
      <c r="J148" s="10" t="str">
        <f t="shared" si="2"/>
        <v>Slow</v>
      </c>
      <c r="L148" s="7" t="s">
        <v>306</v>
      </c>
      <c r="M148">
        <v>1</v>
      </c>
    </row>
    <row r="149" spans="1:13" outlineLevel="1" x14ac:dyDescent="0.2">
      <c r="A149" t="s">
        <v>726</v>
      </c>
      <c r="B149" t="s">
        <v>655</v>
      </c>
      <c r="C149" t="s">
        <v>51</v>
      </c>
      <c r="D149">
        <v>2017</v>
      </c>
      <c r="E149">
        <v>0.74</v>
      </c>
      <c r="F149">
        <v>245</v>
      </c>
      <c r="G149">
        <v>0.45</v>
      </c>
      <c r="H149">
        <v>118</v>
      </c>
      <c r="I149">
        <v>78</v>
      </c>
      <c r="J149" s="10" t="str">
        <f t="shared" si="2"/>
        <v>Fast</v>
      </c>
      <c r="L149" s="7" t="s">
        <v>824</v>
      </c>
      <c r="M149">
        <v>1</v>
      </c>
    </row>
    <row r="150" spans="1:13" outlineLevel="1" x14ac:dyDescent="0.2">
      <c r="A150" t="s">
        <v>757</v>
      </c>
      <c r="B150" t="s">
        <v>85</v>
      </c>
      <c r="C150" t="s">
        <v>86</v>
      </c>
      <c r="D150">
        <v>2018</v>
      </c>
      <c r="E150">
        <v>0.74</v>
      </c>
      <c r="F150">
        <v>189</v>
      </c>
      <c r="G150">
        <v>0.73</v>
      </c>
      <c r="H150">
        <v>105</v>
      </c>
      <c r="I150">
        <v>77</v>
      </c>
      <c r="J150" s="10" t="str">
        <f t="shared" si="2"/>
        <v>Fast</v>
      </c>
      <c r="L150" s="7" t="s">
        <v>417</v>
      </c>
      <c r="M150">
        <v>1</v>
      </c>
    </row>
    <row r="151" spans="1:13" outlineLevel="1" x14ac:dyDescent="0.2">
      <c r="A151" t="s">
        <v>794</v>
      </c>
      <c r="B151" t="s">
        <v>795</v>
      </c>
      <c r="C151" t="s">
        <v>605</v>
      </c>
      <c r="D151">
        <v>2019</v>
      </c>
      <c r="E151">
        <v>0.74</v>
      </c>
      <c r="F151">
        <v>181</v>
      </c>
      <c r="G151">
        <v>0.87</v>
      </c>
      <c r="H151">
        <v>94</v>
      </c>
      <c r="I151">
        <v>76</v>
      </c>
      <c r="J151" s="10" t="str">
        <f t="shared" si="2"/>
        <v>Slow</v>
      </c>
      <c r="L151" s="7" t="s">
        <v>399</v>
      </c>
      <c r="M151">
        <v>1</v>
      </c>
    </row>
    <row r="152" spans="1:13" outlineLevel="1" x14ac:dyDescent="0.2">
      <c r="A152" t="s">
        <v>84</v>
      </c>
      <c r="B152" t="s">
        <v>85</v>
      </c>
      <c r="C152" t="s">
        <v>86</v>
      </c>
      <c r="D152">
        <v>2010</v>
      </c>
      <c r="E152">
        <v>0.73</v>
      </c>
      <c r="F152">
        <v>214</v>
      </c>
      <c r="G152">
        <v>0.86</v>
      </c>
      <c r="H152">
        <v>65</v>
      </c>
      <c r="I152">
        <v>77</v>
      </c>
      <c r="J152" s="10" t="str">
        <f t="shared" si="2"/>
        <v>Slow</v>
      </c>
      <c r="L152" s="7" t="s">
        <v>357</v>
      </c>
      <c r="M152">
        <v>1</v>
      </c>
    </row>
    <row r="153" spans="1:13" outlineLevel="1" x14ac:dyDescent="0.2">
      <c r="A153" t="s">
        <v>92</v>
      </c>
      <c r="B153" t="s">
        <v>90</v>
      </c>
      <c r="C153" t="s">
        <v>51</v>
      </c>
      <c r="D153">
        <v>2010</v>
      </c>
      <c r="E153">
        <v>0.73</v>
      </c>
      <c r="F153">
        <v>215</v>
      </c>
      <c r="G153">
        <v>0.68</v>
      </c>
      <c r="H153">
        <v>125</v>
      </c>
      <c r="I153">
        <v>66</v>
      </c>
      <c r="J153" s="10" t="str">
        <f t="shared" si="2"/>
        <v>Fast</v>
      </c>
      <c r="L153" s="7" t="s">
        <v>345</v>
      </c>
      <c r="M153">
        <v>1</v>
      </c>
    </row>
    <row r="154" spans="1:13" outlineLevel="1" x14ac:dyDescent="0.2">
      <c r="A154" t="s">
        <v>143</v>
      </c>
      <c r="B154" t="s">
        <v>141</v>
      </c>
      <c r="C154" t="s">
        <v>142</v>
      </c>
      <c r="D154">
        <v>2011</v>
      </c>
      <c r="E154">
        <v>0.73</v>
      </c>
      <c r="F154">
        <v>228</v>
      </c>
      <c r="G154">
        <v>0.76</v>
      </c>
      <c r="H154">
        <v>105</v>
      </c>
      <c r="I154">
        <v>76</v>
      </c>
      <c r="J154" s="10" t="str">
        <f t="shared" si="2"/>
        <v>Fast</v>
      </c>
      <c r="L154" s="7" t="s">
        <v>443</v>
      </c>
      <c r="M154">
        <v>1</v>
      </c>
    </row>
    <row r="155" spans="1:13" outlineLevel="1" x14ac:dyDescent="0.2">
      <c r="A155" t="s">
        <v>148</v>
      </c>
      <c r="B155" t="s">
        <v>147</v>
      </c>
      <c r="C155" t="s">
        <v>51</v>
      </c>
      <c r="D155">
        <v>2011</v>
      </c>
      <c r="E155">
        <v>0.73</v>
      </c>
      <c r="F155">
        <v>236</v>
      </c>
      <c r="G155">
        <v>0.9</v>
      </c>
      <c r="H155">
        <v>127</v>
      </c>
      <c r="I155">
        <v>76</v>
      </c>
      <c r="J155" s="10" t="str">
        <f t="shared" si="2"/>
        <v>Fast</v>
      </c>
      <c r="L155" s="7" t="s">
        <v>478</v>
      </c>
      <c r="M155">
        <v>1</v>
      </c>
    </row>
    <row r="156" spans="1:13" outlineLevel="1" x14ac:dyDescent="0.2">
      <c r="A156" t="s">
        <v>164</v>
      </c>
      <c r="B156" t="s">
        <v>165</v>
      </c>
      <c r="C156" t="s">
        <v>51</v>
      </c>
      <c r="D156">
        <v>2011</v>
      </c>
      <c r="E156">
        <v>0.73</v>
      </c>
      <c r="F156">
        <v>285</v>
      </c>
      <c r="G156">
        <v>0.78</v>
      </c>
      <c r="H156">
        <v>130</v>
      </c>
      <c r="I156">
        <v>69</v>
      </c>
      <c r="J156" s="10" t="str">
        <f t="shared" si="2"/>
        <v>Fast</v>
      </c>
      <c r="L156" s="7" t="s">
        <v>289</v>
      </c>
      <c r="M156">
        <v>1</v>
      </c>
    </row>
    <row r="157" spans="1:13" outlineLevel="1" x14ac:dyDescent="0.2">
      <c r="A157" t="s">
        <v>168</v>
      </c>
      <c r="B157" t="s">
        <v>165</v>
      </c>
      <c r="C157" t="s">
        <v>51</v>
      </c>
      <c r="D157">
        <v>2011</v>
      </c>
      <c r="E157">
        <v>0.73</v>
      </c>
      <c r="F157">
        <v>201</v>
      </c>
      <c r="G157">
        <v>0.88</v>
      </c>
      <c r="H157">
        <v>129</v>
      </c>
      <c r="I157">
        <v>31</v>
      </c>
      <c r="J157" s="10" t="str">
        <f t="shared" si="2"/>
        <v>Fast</v>
      </c>
      <c r="L157" s="7" t="s">
        <v>756</v>
      </c>
      <c r="M157">
        <v>1</v>
      </c>
    </row>
    <row r="158" spans="1:13" outlineLevel="1" x14ac:dyDescent="0.2">
      <c r="A158" t="s">
        <v>199</v>
      </c>
      <c r="B158" t="s">
        <v>111</v>
      </c>
      <c r="C158" t="s">
        <v>112</v>
      </c>
      <c r="D158">
        <v>2011</v>
      </c>
      <c r="E158">
        <v>0.73</v>
      </c>
      <c r="F158">
        <v>215</v>
      </c>
      <c r="G158">
        <v>0.77</v>
      </c>
      <c r="H158">
        <v>128</v>
      </c>
      <c r="I158">
        <v>61</v>
      </c>
      <c r="J158" s="10" t="str">
        <f t="shared" si="2"/>
        <v>Fast</v>
      </c>
      <c r="L158" s="7" t="s">
        <v>521</v>
      </c>
      <c r="M158">
        <v>1</v>
      </c>
    </row>
    <row r="159" spans="1:13" outlineLevel="1" x14ac:dyDescent="0.2">
      <c r="A159" t="s">
        <v>207</v>
      </c>
      <c r="B159" t="s">
        <v>24</v>
      </c>
      <c r="C159" t="s">
        <v>63</v>
      </c>
      <c r="D159">
        <v>2012</v>
      </c>
      <c r="E159">
        <v>0.73</v>
      </c>
      <c r="F159">
        <v>233</v>
      </c>
      <c r="G159">
        <v>0.7</v>
      </c>
      <c r="H159">
        <v>144</v>
      </c>
      <c r="I159">
        <v>79</v>
      </c>
      <c r="J159" s="10" t="str">
        <f t="shared" si="2"/>
        <v>Fast</v>
      </c>
      <c r="L159" s="7" t="s">
        <v>789</v>
      </c>
      <c r="M159">
        <v>1</v>
      </c>
    </row>
    <row r="160" spans="1:13" outlineLevel="1" x14ac:dyDescent="0.2">
      <c r="A160" t="s">
        <v>235</v>
      </c>
      <c r="B160" t="s">
        <v>236</v>
      </c>
      <c r="C160" t="s">
        <v>237</v>
      </c>
      <c r="D160">
        <v>2012</v>
      </c>
      <c r="E160">
        <v>0.73</v>
      </c>
      <c r="F160">
        <v>200</v>
      </c>
      <c r="G160">
        <v>0.79</v>
      </c>
      <c r="H160">
        <v>125</v>
      </c>
      <c r="I160">
        <v>78</v>
      </c>
      <c r="J160" s="10" t="str">
        <f t="shared" si="2"/>
        <v>Fast</v>
      </c>
      <c r="L160" s="7" t="s">
        <v>767</v>
      </c>
      <c r="M160">
        <v>1</v>
      </c>
    </row>
    <row r="161" spans="1:13" outlineLevel="1" x14ac:dyDescent="0.2">
      <c r="A161" t="s">
        <v>597</v>
      </c>
      <c r="B161" t="s">
        <v>598</v>
      </c>
      <c r="C161" t="s">
        <v>51</v>
      </c>
      <c r="D161">
        <v>2016</v>
      </c>
      <c r="E161">
        <v>0.73</v>
      </c>
      <c r="F161">
        <v>182</v>
      </c>
      <c r="G161">
        <v>0.62</v>
      </c>
      <c r="H161">
        <v>100</v>
      </c>
      <c r="I161">
        <v>78</v>
      </c>
      <c r="J161" s="10" t="str">
        <f t="shared" si="2"/>
        <v>Fast</v>
      </c>
      <c r="L161" s="7" t="s">
        <v>539</v>
      </c>
      <c r="M161">
        <v>1</v>
      </c>
    </row>
    <row r="162" spans="1:13" outlineLevel="1" x14ac:dyDescent="0.2">
      <c r="A162" t="s">
        <v>632</v>
      </c>
      <c r="B162" t="s">
        <v>526</v>
      </c>
      <c r="C162" t="s">
        <v>51</v>
      </c>
      <c r="D162">
        <v>2016</v>
      </c>
      <c r="E162">
        <v>0.73</v>
      </c>
      <c r="F162">
        <v>193</v>
      </c>
      <c r="G162">
        <v>0.78</v>
      </c>
      <c r="H162">
        <v>108</v>
      </c>
      <c r="I162">
        <v>50</v>
      </c>
      <c r="J162" s="10" t="str">
        <f t="shared" si="2"/>
        <v>Fast</v>
      </c>
      <c r="L162" s="7" t="s">
        <v>679</v>
      </c>
      <c r="M162">
        <v>1</v>
      </c>
    </row>
    <row r="163" spans="1:13" outlineLevel="1" x14ac:dyDescent="0.2">
      <c r="A163" t="s">
        <v>637</v>
      </c>
      <c r="B163" t="s">
        <v>111</v>
      </c>
      <c r="C163" t="s">
        <v>112</v>
      </c>
      <c r="D163">
        <v>2016</v>
      </c>
      <c r="E163">
        <v>0.73</v>
      </c>
      <c r="F163">
        <v>219</v>
      </c>
      <c r="G163">
        <v>0.53</v>
      </c>
      <c r="H163">
        <v>92</v>
      </c>
      <c r="I163">
        <v>78</v>
      </c>
      <c r="J163" s="10" t="str">
        <f t="shared" si="2"/>
        <v>Slow</v>
      </c>
      <c r="L163" s="7" t="s">
        <v>653</v>
      </c>
      <c r="M163">
        <v>1</v>
      </c>
    </row>
    <row r="164" spans="1:13" outlineLevel="1" x14ac:dyDescent="0.2">
      <c r="A164" t="s">
        <v>704</v>
      </c>
      <c r="B164" t="s">
        <v>506</v>
      </c>
      <c r="C164" t="s">
        <v>507</v>
      </c>
      <c r="D164">
        <v>2017</v>
      </c>
      <c r="E164">
        <v>0.73</v>
      </c>
      <c r="F164">
        <v>158</v>
      </c>
      <c r="G164">
        <v>0.64</v>
      </c>
      <c r="H164">
        <v>122</v>
      </c>
      <c r="I164">
        <v>59</v>
      </c>
      <c r="J164" s="10" t="str">
        <f t="shared" si="2"/>
        <v>Fast</v>
      </c>
      <c r="L164" s="7" t="s">
        <v>328</v>
      </c>
      <c r="M164">
        <v>1</v>
      </c>
    </row>
    <row r="165" spans="1:13" outlineLevel="1" x14ac:dyDescent="0.2">
      <c r="A165" t="s">
        <v>35</v>
      </c>
      <c r="B165" t="s">
        <v>36</v>
      </c>
      <c r="C165" t="s">
        <v>51</v>
      </c>
      <c r="D165">
        <v>2018</v>
      </c>
      <c r="E165">
        <v>0.73</v>
      </c>
      <c r="F165">
        <v>221</v>
      </c>
      <c r="G165">
        <v>0.69</v>
      </c>
      <c r="H165">
        <v>94</v>
      </c>
      <c r="I165">
        <v>64</v>
      </c>
      <c r="J165" s="10" t="str">
        <f t="shared" si="2"/>
        <v>Slow</v>
      </c>
      <c r="L165" s="7" t="s">
        <v>78</v>
      </c>
      <c r="M165">
        <v>1</v>
      </c>
    </row>
    <row r="166" spans="1:13" outlineLevel="1" x14ac:dyDescent="0.2">
      <c r="A166" t="s">
        <v>819</v>
      </c>
      <c r="B166" t="s">
        <v>820</v>
      </c>
      <c r="C166" t="s">
        <v>101</v>
      </c>
      <c r="D166">
        <v>2019</v>
      </c>
      <c r="E166">
        <v>0.73</v>
      </c>
      <c r="F166">
        <v>148</v>
      </c>
      <c r="G166">
        <v>0.86</v>
      </c>
      <c r="H166">
        <v>125</v>
      </c>
      <c r="I166">
        <v>82</v>
      </c>
      <c r="J166" s="10" t="str">
        <f t="shared" si="2"/>
        <v>Fast</v>
      </c>
      <c r="L166" s="7" t="s">
        <v>630</v>
      </c>
      <c r="M166">
        <v>1</v>
      </c>
    </row>
    <row r="167" spans="1:13" outlineLevel="1" x14ac:dyDescent="0.2">
      <c r="A167" t="s">
        <v>87</v>
      </c>
      <c r="B167" t="s">
        <v>10</v>
      </c>
      <c r="C167" t="s">
        <v>51</v>
      </c>
      <c r="D167">
        <v>2010</v>
      </c>
      <c r="E167">
        <v>0.72</v>
      </c>
      <c r="F167">
        <v>228</v>
      </c>
      <c r="G167">
        <v>0.8</v>
      </c>
      <c r="H167">
        <v>120</v>
      </c>
      <c r="I167">
        <v>63</v>
      </c>
      <c r="J167" s="10" t="str">
        <f t="shared" si="2"/>
        <v>Fast</v>
      </c>
      <c r="L167" s="7" t="s">
        <v>386</v>
      </c>
      <c r="M167">
        <v>1</v>
      </c>
    </row>
    <row r="168" spans="1:13" outlineLevel="1" x14ac:dyDescent="0.2">
      <c r="A168" t="s">
        <v>114</v>
      </c>
      <c r="B168" t="s">
        <v>115</v>
      </c>
      <c r="C168" t="s">
        <v>51</v>
      </c>
      <c r="D168">
        <v>2010</v>
      </c>
      <c r="E168">
        <v>0.72</v>
      </c>
      <c r="F168">
        <v>202</v>
      </c>
      <c r="G168">
        <v>0.61</v>
      </c>
      <c r="H168">
        <v>121</v>
      </c>
      <c r="I168">
        <v>71</v>
      </c>
      <c r="J168" s="10" t="str">
        <f t="shared" si="2"/>
        <v>Fast</v>
      </c>
      <c r="L168" s="7" t="s">
        <v>660</v>
      </c>
      <c r="M168">
        <v>1</v>
      </c>
    </row>
    <row r="169" spans="1:13" outlineLevel="1" x14ac:dyDescent="0.2">
      <c r="A169" t="s">
        <v>131</v>
      </c>
      <c r="B169" t="s">
        <v>128</v>
      </c>
      <c r="C169" t="s">
        <v>51</v>
      </c>
      <c r="D169">
        <v>2010</v>
      </c>
      <c r="E169">
        <v>0.72</v>
      </c>
      <c r="F169">
        <v>269</v>
      </c>
      <c r="G169">
        <v>0.91</v>
      </c>
      <c r="H169">
        <v>125</v>
      </c>
      <c r="I169">
        <v>59</v>
      </c>
      <c r="J169" s="10" t="str">
        <f t="shared" si="2"/>
        <v>Fast</v>
      </c>
      <c r="L169" s="7" t="s">
        <v>115</v>
      </c>
      <c r="M169">
        <v>1</v>
      </c>
    </row>
    <row r="170" spans="1:13" outlineLevel="1" x14ac:dyDescent="0.2">
      <c r="A170" t="s">
        <v>187</v>
      </c>
      <c r="B170" t="s">
        <v>34</v>
      </c>
      <c r="C170" t="s">
        <v>63</v>
      </c>
      <c r="D170">
        <v>2011</v>
      </c>
      <c r="E170">
        <v>0.72</v>
      </c>
      <c r="F170">
        <v>201</v>
      </c>
      <c r="G170">
        <v>0.76</v>
      </c>
      <c r="H170">
        <v>128</v>
      </c>
      <c r="I170">
        <v>76</v>
      </c>
      <c r="J170" s="10" t="str">
        <f t="shared" si="2"/>
        <v>Fast</v>
      </c>
      <c r="L170" s="7" t="s">
        <v>310</v>
      </c>
      <c r="M170">
        <v>1</v>
      </c>
    </row>
    <row r="171" spans="1:13" outlineLevel="1" x14ac:dyDescent="0.2">
      <c r="A171" t="s">
        <v>226</v>
      </c>
      <c r="B171" t="s">
        <v>85</v>
      </c>
      <c r="C171" t="s">
        <v>86</v>
      </c>
      <c r="D171">
        <v>2012</v>
      </c>
      <c r="E171">
        <v>0.72</v>
      </c>
      <c r="F171">
        <v>171</v>
      </c>
      <c r="G171">
        <v>0.55000000000000004</v>
      </c>
      <c r="H171">
        <v>97</v>
      </c>
      <c r="I171">
        <v>71</v>
      </c>
      <c r="J171" s="10" t="str">
        <f t="shared" si="2"/>
        <v>Slow</v>
      </c>
      <c r="L171" s="7" t="s">
        <v>380</v>
      </c>
      <c r="M171">
        <v>1</v>
      </c>
    </row>
    <row r="172" spans="1:13" outlineLevel="1" x14ac:dyDescent="0.2">
      <c r="A172" t="s">
        <v>233</v>
      </c>
      <c r="B172" t="s">
        <v>34</v>
      </c>
      <c r="C172" t="s">
        <v>63</v>
      </c>
      <c r="D172">
        <v>2012</v>
      </c>
      <c r="E172">
        <v>0.72</v>
      </c>
      <c r="F172">
        <v>220</v>
      </c>
      <c r="G172">
        <v>0.82</v>
      </c>
      <c r="H172">
        <v>93</v>
      </c>
      <c r="I172">
        <v>73</v>
      </c>
      <c r="J172" s="10" t="str">
        <f t="shared" si="2"/>
        <v>Slow</v>
      </c>
      <c r="L172" s="7" t="s">
        <v>265</v>
      </c>
      <c r="M172">
        <v>1</v>
      </c>
    </row>
    <row r="173" spans="1:13" outlineLevel="1" x14ac:dyDescent="0.2">
      <c r="A173" t="s">
        <v>243</v>
      </c>
      <c r="B173" t="s">
        <v>197</v>
      </c>
      <c r="C173" t="s">
        <v>51</v>
      </c>
      <c r="D173">
        <v>2012</v>
      </c>
      <c r="E173">
        <v>0.72</v>
      </c>
      <c r="F173">
        <v>206</v>
      </c>
      <c r="G173">
        <v>0.96</v>
      </c>
      <c r="H173">
        <v>127</v>
      </c>
      <c r="I173">
        <v>59</v>
      </c>
      <c r="J173" s="10" t="str">
        <f t="shared" si="2"/>
        <v>Fast</v>
      </c>
      <c r="L173" s="7" t="s">
        <v>32</v>
      </c>
      <c r="M173">
        <v>1</v>
      </c>
    </row>
    <row r="174" spans="1:13" outlineLevel="1" x14ac:dyDescent="0.2">
      <c r="A174" t="s">
        <v>244</v>
      </c>
      <c r="B174" t="s">
        <v>111</v>
      </c>
      <c r="C174" t="s">
        <v>112</v>
      </c>
      <c r="D174">
        <v>2012</v>
      </c>
      <c r="E174">
        <v>0.72</v>
      </c>
      <c r="F174">
        <v>243</v>
      </c>
      <c r="G174">
        <v>0.85</v>
      </c>
      <c r="H174">
        <v>128</v>
      </c>
      <c r="I174">
        <v>68</v>
      </c>
      <c r="J174" s="10" t="str">
        <f t="shared" si="2"/>
        <v>Fast</v>
      </c>
      <c r="L174" s="7" t="s">
        <v>690</v>
      </c>
      <c r="M174">
        <v>1</v>
      </c>
    </row>
    <row r="175" spans="1:13" outlineLevel="1" x14ac:dyDescent="0.2">
      <c r="A175" t="s">
        <v>251</v>
      </c>
      <c r="B175" t="s">
        <v>252</v>
      </c>
      <c r="C175" t="s">
        <v>237</v>
      </c>
      <c r="D175">
        <v>2012</v>
      </c>
      <c r="E175">
        <v>0.72</v>
      </c>
      <c r="F175">
        <v>198</v>
      </c>
      <c r="G175">
        <v>0.85</v>
      </c>
      <c r="H175">
        <v>127</v>
      </c>
      <c r="I175">
        <v>72</v>
      </c>
      <c r="J175" s="10" t="str">
        <f t="shared" si="2"/>
        <v>Fast</v>
      </c>
      <c r="L175" s="7" t="s">
        <v>411</v>
      </c>
      <c r="M175">
        <v>1</v>
      </c>
    </row>
    <row r="176" spans="1:13" outlineLevel="1" x14ac:dyDescent="0.2">
      <c r="A176" t="s">
        <v>271</v>
      </c>
      <c r="B176" t="s">
        <v>71</v>
      </c>
      <c r="C176" t="s">
        <v>51</v>
      </c>
      <c r="D176">
        <v>2013</v>
      </c>
      <c r="E176">
        <v>0.72</v>
      </c>
      <c r="F176">
        <v>209</v>
      </c>
      <c r="G176">
        <v>0.87</v>
      </c>
      <c r="H176">
        <v>130</v>
      </c>
      <c r="I176">
        <v>67</v>
      </c>
      <c r="J176" s="10" t="str">
        <f t="shared" si="2"/>
        <v>Fast</v>
      </c>
      <c r="L176" s="7" t="s">
        <v>528</v>
      </c>
      <c r="M176">
        <v>1</v>
      </c>
    </row>
    <row r="177" spans="1:13" outlineLevel="1" x14ac:dyDescent="0.2">
      <c r="A177" t="s">
        <v>308</v>
      </c>
      <c r="B177" t="s">
        <v>90</v>
      </c>
      <c r="C177" t="s">
        <v>51</v>
      </c>
      <c r="D177">
        <v>2013</v>
      </c>
      <c r="E177">
        <v>0.72</v>
      </c>
      <c r="F177">
        <v>229</v>
      </c>
      <c r="G177">
        <v>0.75</v>
      </c>
      <c r="H177">
        <v>128</v>
      </c>
      <c r="I177">
        <v>46</v>
      </c>
      <c r="J177" s="10" t="str">
        <f t="shared" si="2"/>
        <v>Fast</v>
      </c>
      <c r="L177" s="7" t="s">
        <v>783</v>
      </c>
      <c r="M177">
        <v>1</v>
      </c>
    </row>
    <row r="178" spans="1:13" outlineLevel="1" x14ac:dyDescent="0.2">
      <c r="A178" t="s">
        <v>376</v>
      </c>
      <c r="B178" t="s">
        <v>24</v>
      </c>
      <c r="C178" t="s">
        <v>63</v>
      </c>
      <c r="D178">
        <v>2014</v>
      </c>
      <c r="E178">
        <v>0.72</v>
      </c>
      <c r="F178">
        <v>244</v>
      </c>
      <c r="G178">
        <v>0.54</v>
      </c>
      <c r="H178">
        <v>140</v>
      </c>
      <c r="I178">
        <v>68</v>
      </c>
      <c r="J178" s="10" t="str">
        <f t="shared" si="2"/>
        <v>Fast</v>
      </c>
      <c r="L178" s="7" t="s">
        <v>795</v>
      </c>
      <c r="M178">
        <v>1</v>
      </c>
    </row>
    <row r="179" spans="1:13" outlineLevel="1" x14ac:dyDescent="0.2">
      <c r="A179" t="s">
        <v>403</v>
      </c>
      <c r="B179" t="s">
        <v>10</v>
      </c>
      <c r="C179" t="s">
        <v>51</v>
      </c>
      <c r="D179">
        <v>2014</v>
      </c>
      <c r="E179">
        <v>0.72</v>
      </c>
      <c r="F179">
        <v>215</v>
      </c>
      <c r="G179">
        <v>0.67</v>
      </c>
      <c r="H179">
        <v>126</v>
      </c>
      <c r="I179">
        <v>65</v>
      </c>
      <c r="J179" s="10" t="str">
        <f t="shared" si="2"/>
        <v>Fast</v>
      </c>
      <c r="L179" s="7" t="s">
        <v>645</v>
      </c>
      <c r="M179">
        <v>1</v>
      </c>
    </row>
    <row r="180" spans="1:13" outlineLevel="1" x14ac:dyDescent="0.2">
      <c r="A180" t="s">
        <v>420</v>
      </c>
      <c r="B180" t="s">
        <v>108</v>
      </c>
      <c r="C180" t="s">
        <v>51</v>
      </c>
      <c r="D180">
        <v>2014</v>
      </c>
      <c r="E180">
        <v>0.72</v>
      </c>
      <c r="F180">
        <v>225</v>
      </c>
      <c r="G180">
        <v>0.93</v>
      </c>
      <c r="H180">
        <v>120</v>
      </c>
      <c r="I180">
        <v>66</v>
      </c>
      <c r="J180" s="10" t="str">
        <f t="shared" si="2"/>
        <v>Fast</v>
      </c>
      <c r="L180" s="7" t="s">
        <v>571</v>
      </c>
      <c r="M180">
        <v>1</v>
      </c>
    </row>
    <row r="181" spans="1:13" outlineLevel="1" x14ac:dyDescent="0.2">
      <c r="A181" t="s">
        <v>465</v>
      </c>
      <c r="B181" t="s">
        <v>76</v>
      </c>
      <c r="C181" t="s">
        <v>51</v>
      </c>
      <c r="D181">
        <v>2015</v>
      </c>
      <c r="E181">
        <v>0.72</v>
      </c>
      <c r="F181">
        <v>238</v>
      </c>
      <c r="G181">
        <v>0.9</v>
      </c>
      <c r="H181">
        <v>112</v>
      </c>
      <c r="I181">
        <v>34</v>
      </c>
      <c r="J181" s="10" t="str">
        <f t="shared" si="2"/>
        <v>Fast</v>
      </c>
      <c r="L181" s="7" t="s">
        <v>14</v>
      </c>
      <c r="M181">
        <v>1</v>
      </c>
    </row>
    <row r="182" spans="1:13" outlineLevel="1" x14ac:dyDescent="0.2">
      <c r="A182" t="s">
        <v>537</v>
      </c>
      <c r="B182" t="s">
        <v>197</v>
      </c>
      <c r="C182" t="s">
        <v>51</v>
      </c>
      <c r="D182">
        <v>2015</v>
      </c>
      <c r="E182">
        <v>0.72</v>
      </c>
      <c r="F182">
        <v>229</v>
      </c>
      <c r="G182">
        <v>0.8</v>
      </c>
      <c r="H182">
        <v>124</v>
      </c>
      <c r="I182">
        <v>45</v>
      </c>
      <c r="J182" s="10" t="str">
        <f t="shared" si="2"/>
        <v>Fast</v>
      </c>
      <c r="L182" s="7" t="s">
        <v>239</v>
      </c>
      <c r="M182">
        <v>1</v>
      </c>
    </row>
    <row r="183" spans="1:13" outlineLevel="1" x14ac:dyDescent="0.2">
      <c r="A183" t="s">
        <v>677</v>
      </c>
      <c r="B183" t="s">
        <v>454</v>
      </c>
      <c r="C183" t="s">
        <v>51</v>
      </c>
      <c r="D183">
        <v>2017</v>
      </c>
      <c r="E183">
        <v>0.72</v>
      </c>
      <c r="F183">
        <v>251</v>
      </c>
      <c r="G183">
        <v>0.76</v>
      </c>
      <c r="H183">
        <v>102</v>
      </c>
      <c r="I183">
        <v>78</v>
      </c>
      <c r="J183" s="10" t="str">
        <f t="shared" si="2"/>
        <v>Fast</v>
      </c>
      <c r="L183" s="7" t="s">
        <v>163</v>
      </c>
      <c r="M183">
        <v>1</v>
      </c>
    </row>
    <row r="184" spans="1:13" outlineLevel="1" x14ac:dyDescent="0.2">
      <c r="A184" t="s">
        <v>728</v>
      </c>
      <c r="B184" t="s">
        <v>354</v>
      </c>
      <c r="C184" t="s">
        <v>355</v>
      </c>
      <c r="D184">
        <v>2017</v>
      </c>
      <c r="E184">
        <v>0.72</v>
      </c>
      <c r="F184">
        <v>205</v>
      </c>
      <c r="G184">
        <v>0.93</v>
      </c>
      <c r="H184">
        <v>108</v>
      </c>
      <c r="I184">
        <v>66</v>
      </c>
      <c r="J184" s="10" t="str">
        <f t="shared" si="2"/>
        <v>Fast</v>
      </c>
      <c r="L184" s="7" t="s">
        <v>222</v>
      </c>
      <c r="M184">
        <v>1</v>
      </c>
    </row>
    <row r="185" spans="1:13" outlineLevel="1" x14ac:dyDescent="0.2">
      <c r="A185" t="s">
        <v>777</v>
      </c>
      <c r="B185" t="s">
        <v>343</v>
      </c>
      <c r="C185" t="s">
        <v>51</v>
      </c>
      <c r="D185">
        <v>2018</v>
      </c>
      <c r="E185">
        <v>0.72</v>
      </c>
      <c r="F185">
        <v>198</v>
      </c>
      <c r="G185">
        <v>0.8</v>
      </c>
      <c r="H185">
        <v>125</v>
      </c>
      <c r="I185">
        <v>83</v>
      </c>
      <c r="J185" s="10" t="str">
        <f t="shared" si="2"/>
        <v>Fast</v>
      </c>
      <c r="L185" s="7" t="s">
        <v>286</v>
      </c>
      <c r="M185">
        <v>1</v>
      </c>
    </row>
    <row r="186" spans="1:13" outlineLevel="1" x14ac:dyDescent="0.2">
      <c r="A186" t="s">
        <v>799</v>
      </c>
      <c r="B186" t="s">
        <v>6</v>
      </c>
      <c r="C186" t="s">
        <v>63</v>
      </c>
      <c r="D186">
        <v>2019</v>
      </c>
      <c r="E186">
        <v>0.72</v>
      </c>
      <c r="F186">
        <v>162</v>
      </c>
      <c r="G186">
        <v>0.82</v>
      </c>
      <c r="H186">
        <v>152</v>
      </c>
      <c r="I186">
        <v>78</v>
      </c>
      <c r="J186" s="10" t="str">
        <f t="shared" si="2"/>
        <v>Fast</v>
      </c>
      <c r="L186" s="7" t="s">
        <v>534</v>
      </c>
      <c r="M186">
        <v>1</v>
      </c>
    </row>
    <row r="187" spans="1:13" outlineLevel="1" x14ac:dyDescent="0.2">
      <c r="A187" t="s">
        <v>812</v>
      </c>
      <c r="B187" t="s">
        <v>810</v>
      </c>
      <c r="C187" t="s">
        <v>811</v>
      </c>
      <c r="D187">
        <v>2019</v>
      </c>
      <c r="E187">
        <v>0.72</v>
      </c>
      <c r="F187">
        <v>173</v>
      </c>
      <c r="G187">
        <v>0.62</v>
      </c>
      <c r="H187">
        <v>158</v>
      </c>
      <c r="I187">
        <v>90</v>
      </c>
      <c r="J187" s="10" t="str">
        <f t="shared" si="2"/>
        <v>Fast</v>
      </c>
      <c r="L187" s="7" t="s">
        <v>390</v>
      </c>
      <c r="M187">
        <v>1</v>
      </c>
    </row>
    <row r="188" spans="1:13" outlineLevel="1" x14ac:dyDescent="0.2">
      <c r="A188" t="s">
        <v>60</v>
      </c>
      <c r="B188" t="s">
        <v>57</v>
      </c>
      <c r="C188" t="s">
        <v>58</v>
      </c>
      <c r="D188">
        <v>2010</v>
      </c>
      <c r="E188">
        <v>0.71</v>
      </c>
      <c r="F188">
        <v>273</v>
      </c>
      <c r="G188">
        <v>0.41</v>
      </c>
      <c r="H188">
        <v>104</v>
      </c>
      <c r="I188">
        <v>57</v>
      </c>
      <c r="J188" s="10" t="str">
        <f t="shared" si="2"/>
        <v>Fast</v>
      </c>
      <c r="L188" s="7" t="s">
        <v>406</v>
      </c>
      <c r="M188">
        <v>1</v>
      </c>
    </row>
    <row r="189" spans="1:13" outlineLevel="1" x14ac:dyDescent="0.2">
      <c r="A189" t="s">
        <v>154</v>
      </c>
      <c r="B189" t="s">
        <v>24</v>
      </c>
      <c r="C189" t="s">
        <v>63</v>
      </c>
      <c r="D189">
        <v>2011</v>
      </c>
      <c r="E189">
        <v>0.71</v>
      </c>
      <c r="F189">
        <v>223</v>
      </c>
      <c r="G189">
        <v>0.56000000000000005</v>
      </c>
      <c r="H189">
        <v>110</v>
      </c>
      <c r="I189">
        <v>75</v>
      </c>
      <c r="J189" s="10" t="str">
        <f t="shared" si="2"/>
        <v>Fast</v>
      </c>
      <c r="L189" s="7" t="s">
        <v>616</v>
      </c>
      <c r="M189">
        <v>1</v>
      </c>
    </row>
    <row r="190" spans="1:13" outlineLevel="1" x14ac:dyDescent="0.2">
      <c r="A190" t="s">
        <v>155</v>
      </c>
      <c r="B190" t="s">
        <v>156</v>
      </c>
      <c r="C190" t="s">
        <v>51</v>
      </c>
      <c r="D190">
        <v>2011</v>
      </c>
      <c r="E190">
        <v>0.71</v>
      </c>
      <c r="F190">
        <v>242</v>
      </c>
      <c r="G190">
        <v>0.88</v>
      </c>
      <c r="H190">
        <v>130</v>
      </c>
      <c r="I190">
        <v>69</v>
      </c>
      <c r="J190" s="10" t="str">
        <f t="shared" si="2"/>
        <v>Fast</v>
      </c>
      <c r="L190" s="7" t="s">
        <v>808</v>
      </c>
      <c r="M190">
        <v>1</v>
      </c>
    </row>
    <row r="191" spans="1:13" outlineLevel="1" x14ac:dyDescent="0.2">
      <c r="A191" t="s">
        <v>167</v>
      </c>
      <c r="B191" t="s">
        <v>165</v>
      </c>
      <c r="C191" t="s">
        <v>51</v>
      </c>
      <c r="D191">
        <v>2011</v>
      </c>
      <c r="E191">
        <v>0.71</v>
      </c>
      <c r="F191">
        <v>223</v>
      </c>
      <c r="G191">
        <v>0.81</v>
      </c>
      <c r="H191">
        <v>120</v>
      </c>
      <c r="I191">
        <v>58</v>
      </c>
      <c r="J191" s="10" t="str">
        <f t="shared" si="2"/>
        <v>Fast</v>
      </c>
      <c r="L191" s="7" t="s">
        <v>135</v>
      </c>
      <c r="M191">
        <v>1</v>
      </c>
    </row>
    <row r="192" spans="1:13" outlineLevel="1" x14ac:dyDescent="0.2">
      <c r="A192" t="s">
        <v>186</v>
      </c>
      <c r="B192" t="s">
        <v>185</v>
      </c>
      <c r="C192" t="s">
        <v>51</v>
      </c>
      <c r="D192">
        <v>2011</v>
      </c>
      <c r="E192">
        <v>0.71</v>
      </c>
      <c r="F192">
        <v>199</v>
      </c>
      <c r="G192">
        <v>0.86</v>
      </c>
      <c r="H192">
        <v>130</v>
      </c>
      <c r="I192">
        <v>67</v>
      </c>
      <c r="J192" s="10" t="str">
        <f t="shared" si="2"/>
        <v>Fast</v>
      </c>
      <c r="L192" s="7" t="s">
        <v>365</v>
      </c>
      <c r="M192">
        <v>1</v>
      </c>
    </row>
    <row r="193" spans="1:13" outlineLevel="1" x14ac:dyDescent="0.2">
      <c r="A193" t="s">
        <v>285</v>
      </c>
      <c r="B193" t="s">
        <v>286</v>
      </c>
      <c r="C193" t="s">
        <v>287</v>
      </c>
      <c r="D193">
        <v>2013</v>
      </c>
      <c r="E193">
        <v>0.71</v>
      </c>
      <c r="F193">
        <v>157</v>
      </c>
      <c r="G193">
        <v>0.91</v>
      </c>
      <c r="H193">
        <v>126</v>
      </c>
      <c r="I193">
        <v>67</v>
      </c>
      <c r="J193" s="10" t="str">
        <f t="shared" si="2"/>
        <v>Fast</v>
      </c>
      <c r="L193" s="7" t="s">
        <v>8</v>
      </c>
      <c r="M193">
        <v>1</v>
      </c>
    </row>
    <row r="194" spans="1:13" outlineLevel="1" x14ac:dyDescent="0.2">
      <c r="A194" t="s">
        <v>307</v>
      </c>
      <c r="B194" t="s">
        <v>90</v>
      </c>
      <c r="C194" t="s">
        <v>51</v>
      </c>
      <c r="D194">
        <v>2013</v>
      </c>
      <c r="E194">
        <v>0.71</v>
      </c>
      <c r="F194">
        <v>212</v>
      </c>
      <c r="G194">
        <v>0.7</v>
      </c>
      <c r="H194">
        <v>128</v>
      </c>
      <c r="I194">
        <v>75</v>
      </c>
      <c r="J194" s="10" t="str">
        <f t="shared" si="2"/>
        <v>Fast</v>
      </c>
      <c r="L194" s="7" t="s">
        <v>820</v>
      </c>
      <c r="M194">
        <v>1</v>
      </c>
    </row>
    <row r="195" spans="1:13" outlineLevel="1" x14ac:dyDescent="0.2">
      <c r="A195" t="s">
        <v>335</v>
      </c>
      <c r="B195" t="s">
        <v>197</v>
      </c>
      <c r="C195" t="s">
        <v>51</v>
      </c>
      <c r="D195">
        <v>2013</v>
      </c>
      <c r="E195">
        <v>0.71</v>
      </c>
      <c r="F195">
        <v>207</v>
      </c>
      <c r="G195">
        <v>0.84</v>
      </c>
      <c r="H195">
        <v>95</v>
      </c>
      <c r="I195">
        <v>35</v>
      </c>
      <c r="J195" s="10" t="str">
        <f t="shared" ref="J195:J258" si="3">IF(H195&lt;100,"Slow","Fast")</f>
        <v>Slow</v>
      </c>
      <c r="L195" s="7" t="s">
        <v>483</v>
      </c>
      <c r="M195">
        <v>1</v>
      </c>
    </row>
    <row r="196" spans="1:13" outlineLevel="1" x14ac:dyDescent="0.2">
      <c r="A196" t="s">
        <v>362</v>
      </c>
      <c r="B196" t="s">
        <v>256</v>
      </c>
      <c r="C196" t="s">
        <v>51</v>
      </c>
      <c r="D196">
        <v>2014</v>
      </c>
      <c r="E196">
        <v>0.71</v>
      </c>
      <c r="F196">
        <v>232</v>
      </c>
      <c r="G196">
        <v>0.92</v>
      </c>
      <c r="H196">
        <v>126</v>
      </c>
      <c r="I196">
        <v>65</v>
      </c>
      <c r="J196" s="10" t="str">
        <f t="shared" si="3"/>
        <v>Fast</v>
      </c>
      <c r="L196" s="7" t="s">
        <v>772</v>
      </c>
      <c r="M196">
        <v>1</v>
      </c>
    </row>
    <row r="197" spans="1:13" outlineLevel="1" x14ac:dyDescent="0.2">
      <c r="A197" t="s">
        <v>458</v>
      </c>
      <c r="B197" t="s">
        <v>273</v>
      </c>
      <c r="C197" t="s">
        <v>51</v>
      </c>
      <c r="D197">
        <v>2015</v>
      </c>
      <c r="E197">
        <v>0.71</v>
      </c>
      <c r="F197">
        <v>202</v>
      </c>
      <c r="G197">
        <v>0.73</v>
      </c>
      <c r="H197">
        <v>121</v>
      </c>
      <c r="I197">
        <v>70</v>
      </c>
      <c r="J197" s="10" t="str">
        <f t="shared" si="3"/>
        <v>Fast</v>
      </c>
      <c r="L197" s="7" t="s">
        <v>561</v>
      </c>
      <c r="M197">
        <v>1</v>
      </c>
    </row>
    <row r="198" spans="1:13" outlineLevel="1" x14ac:dyDescent="0.2">
      <c r="A198" t="s">
        <v>484</v>
      </c>
      <c r="B198" t="s">
        <v>165</v>
      </c>
      <c r="C198" t="s">
        <v>51</v>
      </c>
      <c r="D198">
        <v>2015</v>
      </c>
      <c r="E198">
        <v>0.71</v>
      </c>
      <c r="F198">
        <v>210</v>
      </c>
      <c r="G198">
        <v>0.95</v>
      </c>
      <c r="H198">
        <v>129</v>
      </c>
      <c r="I198">
        <v>64</v>
      </c>
      <c r="J198" s="10" t="str">
        <f t="shared" si="3"/>
        <v>Fast</v>
      </c>
      <c r="L198" s="7" t="s">
        <v>502</v>
      </c>
      <c r="M198">
        <v>1</v>
      </c>
    </row>
    <row r="199" spans="1:13" outlineLevel="1" x14ac:dyDescent="0.2">
      <c r="A199" t="s">
        <v>488</v>
      </c>
      <c r="B199" t="s">
        <v>170</v>
      </c>
      <c r="C199" t="s">
        <v>54</v>
      </c>
      <c r="D199">
        <v>2015</v>
      </c>
      <c r="E199">
        <v>0.71</v>
      </c>
      <c r="F199">
        <v>199</v>
      </c>
      <c r="G199">
        <v>0.75</v>
      </c>
      <c r="H199">
        <v>150</v>
      </c>
      <c r="I199">
        <v>61</v>
      </c>
      <c r="J199" s="10" t="str">
        <f t="shared" si="3"/>
        <v>Fast</v>
      </c>
      <c r="L199" s="7" t="s">
        <v>409</v>
      </c>
      <c r="M199">
        <v>1</v>
      </c>
    </row>
    <row r="200" spans="1:13" outlineLevel="1" x14ac:dyDescent="0.2">
      <c r="A200" t="s">
        <v>505</v>
      </c>
      <c r="B200" t="s">
        <v>506</v>
      </c>
      <c r="C200" t="s">
        <v>507</v>
      </c>
      <c r="D200">
        <v>2015</v>
      </c>
      <c r="E200">
        <v>0.71</v>
      </c>
      <c r="F200">
        <v>159</v>
      </c>
      <c r="G200">
        <v>0.7</v>
      </c>
      <c r="H200">
        <v>122</v>
      </c>
      <c r="I200">
        <v>61</v>
      </c>
      <c r="J200" s="10" t="str">
        <f t="shared" si="3"/>
        <v>Fast</v>
      </c>
      <c r="L200" s="7" t="s">
        <v>50</v>
      </c>
      <c r="M200">
        <v>1</v>
      </c>
    </row>
    <row r="201" spans="1:13" outlineLevel="1" x14ac:dyDescent="0.2">
      <c r="A201" t="s">
        <v>647</v>
      </c>
      <c r="B201" t="s">
        <v>18</v>
      </c>
      <c r="C201" t="s">
        <v>437</v>
      </c>
      <c r="D201">
        <v>2016</v>
      </c>
      <c r="E201">
        <v>0.71</v>
      </c>
      <c r="F201">
        <v>227</v>
      </c>
      <c r="G201">
        <v>0.8</v>
      </c>
      <c r="H201">
        <v>100</v>
      </c>
      <c r="I201">
        <v>74</v>
      </c>
      <c r="J201" s="10" t="str">
        <f t="shared" si="3"/>
        <v>Fast</v>
      </c>
      <c r="L201" s="7" t="s">
        <v>804</v>
      </c>
      <c r="M201">
        <v>1</v>
      </c>
    </row>
    <row r="202" spans="1:13" outlineLevel="1" x14ac:dyDescent="0.2">
      <c r="A202" t="s">
        <v>652</v>
      </c>
      <c r="B202" t="s">
        <v>653</v>
      </c>
      <c r="C202" t="s">
        <v>51</v>
      </c>
      <c r="D202">
        <v>2016</v>
      </c>
      <c r="E202">
        <v>0.71</v>
      </c>
      <c r="F202">
        <v>203</v>
      </c>
      <c r="G202">
        <v>0.78</v>
      </c>
      <c r="H202">
        <v>126</v>
      </c>
      <c r="I202">
        <v>58</v>
      </c>
      <c r="J202" s="10" t="str">
        <f t="shared" si="3"/>
        <v>Fast</v>
      </c>
      <c r="L202" s="7" t="s">
        <v>829</v>
      </c>
      <c r="M202">
        <v>603</v>
      </c>
    </row>
    <row r="203" spans="1:13" outlineLevel="1" x14ac:dyDescent="0.2">
      <c r="A203" t="s">
        <v>672</v>
      </c>
      <c r="B203" t="s">
        <v>210</v>
      </c>
      <c r="C203" t="s">
        <v>86</v>
      </c>
      <c r="D203">
        <v>2017</v>
      </c>
      <c r="E203">
        <v>0.71</v>
      </c>
      <c r="F203">
        <v>208</v>
      </c>
      <c r="G203">
        <v>0.91</v>
      </c>
      <c r="H203">
        <v>115</v>
      </c>
      <c r="I203">
        <v>69</v>
      </c>
      <c r="J203" s="10" t="str">
        <f t="shared" si="3"/>
        <v>Fast</v>
      </c>
    </row>
    <row r="204" spans="1:13" outlineLevel="1" x14ac:dyDescent="0.2">
      <c r="A204" t="s">
        <v>720</v>
      </c>
      <c r="B204" t="s">
        <v>553</v>
      </c>
      <c r="C204" t="s">
        <v>51</v>
      </c>
      <c r="D204">
        <v>2017</v>
      </c>
      <c r="E204">
        <v>0.71</v>
      </c>
      <c r="F204">
        <v>203</v>
      </c>
      <c r="G204">
        <v>0.87</v>
      </c>
      <c r="H204">
        <v>125</v>
      </c>
      <c r="I204">
        <v>70</v>
      </c>
      <c r="J204" s="10" t="str">
        <f t="shared" si="3"/>
        <v>Fast</v>
      </c>
    </row>
    <row r="205" spans="1:13" outlineLevel="1" x14ac:dyDescent="0.2">
      <c r="A205" t="s">
        <v>741</v>
      </c>
      <c r="B205" t="s">
        <v>273</v>
      </c>
      <c r="C205" t="s">
        <v>51</v>
      </c>
      <c r="D205">
        <v>2018</v>
      </c>
      <c r="E205">
        <v>0.71</v>
      </c>
      <c r="F205">
        <v>204</v>
      </c>
      <c r="G205">
        <v>0.64</v>
      </c>
      <c r="H205">
        <v>144</v>
      </c>
      <c r="I205">
        <v>81</v>
      </c>
      <c r="J205" s="10" t="str">
        <f t="shared" si="3"/>
        <v>Fast</v>
      </c>
    </row>
    <row r="206" spans="1:13" outlineLevel="1" x14ac:dyDescent="0.2">
      <c r="A206" t="s">
        <v>358</v>
      </c>
      <c r="B206" t="s">
        <v>298</v>
      </c>
      <c r="C206" t="s">
        <v>51</v>
      </c>
      <c r="D206">
        <v>2018</v>
      </c>
      <c r="E206">
        <v>0.71</v>
      </c>
      <c r="F206">
        <v>279</v>
      </c>
      <c r="G206">
        <v>0.63</v>
      </c>
      <c r="H206">
        <v>97</v>
      </c>
      <c r="I206">
        <v>74</v>
      </c>
      <c r="J206" s="10" t="str">
        <f t="shared" si="3"/>
        <v>Slow</v>
      </c>
    </row>
    <row r="207" spans="1:13" outlineLevel="1" x14ac:dyDescent="0.2">
      <c r="A207" s="2">
        <v>3</v>
      </c>
      <c r="B207" t="s">
        <v>61</v>
      </c>
      <c r="C207" t="s">
        <v>51</v>
      </c>
      <c r="D207">
        <v>2010</v>
      </c>
      <c r="E207">
        <v>0.7</v>
      </c>
      <c r="F207">
        <v>213</v>
      </c>
      <c r="G207">
        <v>0.71</v>
      </c>
      <c r="H207">
        <v>135</v>
      </c>
      <c r="I207">
        <v>62</v>
      </c>
      <c r="J207" s="10" t="str">
        <f t="shared" si="3"/>
        <v>Fast</v>
      </c>
    </row>
    <row r="208" spans="1:13" outlineLevel="1" x14ac:dyDescent="0.2">
      <c r="A208" t="s">
        <v>94</v>
      </c>
      <c r="B208" t="s">
        <v>95</v>
      </c>
      <c r="C208" t="s">
        <v>51</v>
      </c>
      <c r="D208">
        <v>2010</v>
      </c>
      <c r="E208">
        <v>0.7</v>
      </c>
      <c r="F208">
        <v>295</v>
      </c>
      <c r="G208">
        <v>0.92</v>
      </c>
      <c r="H208">
        <v>119</v>
      </c>
      <c r="I208">
        <v>79</v>
      </c>
      <c r="J208" s="10" t="str">
        <f t="shared" si="3"/>
        <v>Fast</v>
      </c>
    </row>
    <row r="209" spans="1:10" outlineLevel="1" x14ac:dyDescent="0.2">
      <c r="A209" t="s">
        <v>98</v>
      </c>
      <c r="B209" t="s">
        <v>34</v>
      </c>
      <c r="C209" t="s">
        <v>63</v>
      </c>
      <c r="D209">
        <v>2010</v>
      </c>
      <c r="E209">
        <v>0.7</v>
      </c>
      <c r="F209">
        <v>216</v>
      </c>
      <c r="G209">
        <v>0.81</v>
      </c>
      <c r="H209">
        <v>103</v>
      </c>
      <c r="I209">
        <v>65</v>
      </c>
      <c r="J209" s="10" t="str">
        <f t="shared" si="3"/>
        <v>Fast</v>
      </c>
    </row>
    <row r="210" spans="1:10" outlineLevel="1" x14ac:dyDescent="0.2">
      <c r="A210" t="s">
        <v>152</v>
      </c>
      <c r="B210" t="s">
        <v>61</v>
      </c>
      <c r="C210" t="s">
        <v>51</v>
      </c>
      <c r="D210">
        <v>2011</v>
      </c>
      <c r="E210">
        <v>0.7</v>
      </c>
      <c r="F210">
        <v>210</v>
      </c>
      <c r="G210">
        <v>0.55000000000000004</v>
      </c>
      <c r="H210">
        <v>130</v>
      </c>
      <c r="I210">
        <v>64</v>
      </c>
      <c r="J210" s="10" t="str">
        <f t="shared" si="3"/>
        <v>Fast</v>
      </c>
    </row>
    <row r="211" spans="1:10" outlineLevel="1" x14ac:dyDescent="0.2">
      <c r="A211" t="s">
        <v>188</v>
      </c>
      <c r="B211" t="s">
        <v>103</v>
      </c>
      <c r="C211" t="s">
        <v>51</v>
      </c>
      <c r="D211">
        <v>2011</v>
      </c>
      <c r="E211">
        <v>0.7</v>
      </c>
      <c r="F211">
        <v>197</v>
      </c>
      <c r="G211">
        <v>0.88</v>
      </c>
      <c r="H211">
        <v>120</v>
      </c>
      <c r="I211">
        <v>63</v>
      </c>
      <c r="J211" s="10" t="str">
        <f t="shared" si="3"/>
        <v>Fast</v>
      </c>
    </row>
    <row r="212" spans="1:10" outlineLevel="1" x14ac:dyDescent="0.2">
      <c r="A212" t="s">
        <v>246</v>
      </c>
      <c r="B212" t="s">
        <v>111</v>
      </c>
      <c r="C212" t="s">
        <v>112</v>
      </c>
      <c r="D212">
        <v>2012</v>
      </c>
      <c r="E212">
        <v>0.7</v>
      </c>
      <c r="F212">
        <v>200</v>
      </c>
      <c r="G212">
        <v>0.72</v>
      </c>
      <c r="H212">
        <v>127</v>
      </c>
      <c r="I212">
        <v>57</v>
      </c>
      <c r="J212" s="10" t="str">
        <f t="shared" si="3"/>
        <v>Fast</v>
      </c>
    </row>
    <row r="213" spans="1:10" outlineLevel="1" x14ac:dyDescent="0.2">
      <c r="A213" t="s">
        <v>278</v>
      </c>
      <c r="B213" t="s">
        <v>217</v>
      </c>
      <c r="C213" t="s">
        <v>51</v>
      </c>
      <c r="D213">
        <v>2013</v>
      </c>
      <c r="E213">
        <v>0.7</v>
      </c>
      <c r="F213">
        <v>286</v>
      </c>
      <c r="G213">
        <v>0.78</v>
      </c>
      <c r="H213">
        <v>103</v>
      </c>
      <c r="I213">
        <v>52</v>
      </c>
      <c r="J213" s="10" t="str">
        <f t="shared" si="3"/>
        <v>Fast</v>
      </c>
    </row>
    <row r="214" spans="1:10" outlineLevel="1" x14ac:dyDescent="0.2">
      <c r="A214" t="s">
        <v>394</v>
      </c>
      <c r="B214" t="s">
        <v>393</v>
      </c>
      <c r="C214" t="s">
        <v>51</v>
      </c>
      <c r="D214">
        <v>2014</v>
      </c>
      <c r="E214">
        <v>0.7</v>
      </c>
      <c r="F214">
        <v>193</v>
      </c>
      <c r="G214">
        <v>0.62</v>
      </c>
      <c r="H214">
        <v>82</v>
      </c>
      <c r="I214">
        <v>67</v>
      </c>
      <c r="J214" s="10" t="str">
        <f t="shared" si="3"/>
        <v>Slow</v>
      </c>
    </row>
    <row r="215" spans="1:10" outlineLevel="1" x14ac:dyDescent="0.2">
      <c r="A215" t="s">
        <v>464</v>
      </c>
      <c r="B215" t="s">
        <v>217</v>
      </c>
      <c r="C215" t="s">
        <v>51</v>
      </c>
      <c r="D215">
        <v>2015</v>
      </c>
      <c r="E215">
        <v>0.7</v>
      </c>
      <c r="F215">
        <v>213</v>
      </c>
      <c r="G215">
        <v>0.71</v>
      </c>
      <c r="H215">
        <v>155</v>
      </c>
      <c r="I215">
        <v>65</v>
      </c>
      <c r="J215" s="10" t="str">
        <f t="shared" si="3"/>
        <v>Fast</v>
      </c>
    </row>
    <row r="216" spans="1:10" outlineLevel="1" x14ac:dyDescent="0.2">
      <c r="A216" t="s">
        <v>576</v>
      </c>
      <c r="B216" t="s">
        <v>61</v>
      </c>
      <c r="C216" t="s">
        <v>51</v>
      </c>
      <c r="D216">
        <v>2016</v>
      </c>
      <c r="E216">
        <v>0.7</v>
      </c>
      <c r="F216">
        <v>231</v>
      </c>
      <c r="G216">
        <v>0.7</v>
      </c>
      <c r="H216">
        <v>123</v>
      </c>
      <c r="I216">
        <v>53</v>
      </c>
      <c r="J216" s="10" t="str">
        <f t="shared" si="3"/>
        <v>Fast</v>
      </c>
    </row>
    <row r="217" spans="1:10" outlineLevel="1" x14ac:dyDescent="0.2">
      <c r="A217" t="s">
        <v>603</v>
      </c>
      <c r="B217" t="s">
        <v>604</v>
      </c>
      <c r="C217" t="s">
        <v>605</v>
      </c>
      <c r="D217">
        <v>2016</v>
      </c>
      <c r="E217">
        <v>0.7</v>
      </c>
      <c r="F217">
        <v>225</v>
      </c>
      <c r="G217">
        <v>0.81</v>
      </c>
      <c r="H217">
        <v>186</v>
      </c>
      <c r="I217">
        <v>29</v>
      </c>
      <c r="J217" s="10" t="str">
        <f t="shared" si="3"/>
        <v>Fast</v>
      </c>
    </row>
    <row r="218" spans="1:10" outlineLevel="1" x14ac:dyDescent="0.2">
      <c r="A218" t="s">
        <v>615</v>
      </c>
      <c r="B218" t="s">
        <v>616</v>
      </c>
      <c r="C218" t="s">
        <v>51</v>
      </c>
      <c r="D218">
        <v>2016</v>
      </c>
      <c r="E218">
        <v>0.7</v>
      </c>
      <c r="F218">
        <v>236</v>
      </c>
      <c r="G218">
        <v>0.67</v>
      </c>
      <c r="H218">
        <v>105</v>
      </c>
      <c r="I218">
        <v>72</v>
      </c>
      <c r="J218" s="10" t="str">
        <f t="shared" si="3"/>
        <v>Fast</v>
      </c>
    </row>
    <row r="219" spans="1:10" outlineLevel="1" x14ac:dyDescent="0.2">
      <c r="A219" t="s">
        <v>676</v>
      </c>
      <c r="B219" t="s">
        <v>582</v>
      </c>
      <c r="C219" t="s">
        <v>51</v>
      </c>
      <c r="D219">
        <v>2017</v>
      </c>
      <c r="E219">
        <v>0.7</v>
      </c>
      <c r="F219">
        <v>218</v>
      </c>
      <c r="G219">
        <v>0.82</v>
      </c>
      <c r="H219">
        <v>100</v>
      </c>
      <c r="I219">
        <v>59</v>
      </c>
      <c r="J219" s="10" t="str">
        <f t="shared" si="3"/>
        <v>Fast</v>
      </c>
    </row>
    <row r="220" spans="1:10" outlineLevel="1" x14ac:dyDescent="0.2">
      <c r="A220" t="s">
        <v>698</v>
      </c>
      <c r="B220" t="s">
        <v>95</v>
      </c>
      <c r="C220" t="s">
        <v>51</v>
      </c>
      <c r="D220">
        <v>2017</v>
      </c>
      <c r="E220">
        <v>0.7</v>
      </c>
      <c r="F220">
        <v>211</v>
      </c>
      <c r="G220">
        <v>0.51</v>
      </c>
      <c r="H220">
        <v>100</v>
      </c>
      <c r="I220">
        <v>71</v>
      </c>
      <c r="J220" s="10" t="str">
        <f t="shared" si="3"/>
        <v>Fast</v>
      </c>
    </row>
    <row r="221" spans="1:10" outlineLevel="1" x14ac:dyDescent="0.2">
      <c r="A221" t="s">
        <v>714</v>
      </c>
      <c r="B221" t="s">
        <v>197</v>
      </c>
      <c r="C221" t="s">
        <v>51</v>
      </c>
      <c r="D221">
        <v>2017</v>
      </c>
      <c r="E221">
        <v>0.7</v>
      </c>
      <c r="F221">
        <v>245</v>
      </c>
      <c r="G221">
        <v>0.83</v>
      </c>
      <c r="H221">
        <v>115</v>
      </c>
      <c r="I221">
        <v>54</v>
      </c>
      <c r="J221" s="10" t="str">
        <f t="shared" si="3"/>
        <v>Fast</v>
      </c>
    </row>
    <row r="222" spans="1:10" outlineLevel="1" x14ac:dyDescent="0.2">
      <c r="A222" t="s">
        <v>19</v>
      </c>
      <c r="B222" t="s">
        <v>20</v>
      </c>
      <c r="C222" t="s">
        <v>51</v>
      </c>
      <c r="D222">
        <v>2018</v>
      </c>
      <c r="E222">
        <v>0.7</v>
      </c>
      <c r="F222">
        <v>206</v>
      </c>
      <c r="G222">
        <v>0.71</v>
      </c>
      <c r="H222">
        <v>122</v>
      </c>
      <c r="I222">
        <v>84</v>
      </c>
      <c r="J222" s="10" t="str">
        <f t="shared" si="3"/>
        <v>Fast</v>
      </c>
    </row>
    <row r="223" spans="1:10" outlineLevel="1" x14ac:dyDescent="0.2">
      <c r="A223" t="s">
        <v>23</v>
      </c>
      <c r="B223" t="s">
        <v>24</v>
      </c>
      <c r="C223" t="s">
        <v>63</v>
      </c>
      <c r="D223">
        <v>2018</v>
      </c>
      <c r="E223">
        <v>0.7</v>
      </c>
      <c r="F223">
        <v>217</v>
      </c>
      <c r="G223">
        <v>0.86</v>
      </c>
      <c r="H223">
        <v>105</v>
      </c>
      <c r="I223">
        <v>78</v>
      </c>
      <c r="J223" s="10" t="str">
        <f t="shared" si="3"/>
        <v>Fast</v>
      </c>
    </row>
    <row r="224" spans="1:10" outlineLevel="1" x14ac:dyDescent="0.2">
      <c r="A224" t="s">
        <v>788</v>
      </c>
      <c r="B224" t="s">
        <v>789</v>
      </c>
      <c r="C224" t="s">
        <v>51</v>
      </c>
      <c r="D224">
        <v>2018</v>
      </c>
      <c r="E224">
        <v>0.7</v>
      </c>
      <c r="F224">
        <v>205</v>
      </c>
      <c r="G224">
        <v>0.46</v>
      </c>
      <c r="H224">
        <v>103</v>
      </c>
      <c r="I224">
        <v>76</v>
      </c>
      <c r="J224" s="10" t="str">
        <f t="shared" si="3"/>
        <v>Fast</v>
      </c>
    </row>
    <row r="225" spans="1:10" outlineLevel="1" x14ac:dyDescent="0.2">
      <c r="A225" t="s">
        <v>793</v>
      </c>
      <c r="B225" t="s">
        <v>156</v>
      </c>
      <c r="C225" t="s">
        <v>51</v>
      </c>
      <c r="D225">
        <v>2019</v>
      </c>
      <c r="E225">
        <v>0.7</v>
      </c>
      <c r="F225">
        <v>261</v>
      </c>
      <c r="G225">
        <v>0.45</v>
      </c>
      <c r="H225">
        <v>93</v>
      </c>
      <c r="I225">
        <v>81</v>
      </c>
      <c r="J225" s="10" t="str">
        <f t="shared" si="3"/>
        <v>Slow</v>
      </c>
    </row>
    <row r="226" spans="1:10" outlineLevel="1" x14ac:dyDescent="0.2">
      <c r="A226" t="s">
        <v>828</v>
      </c>
      <c r="B226" t="s">
        <v>18</v>
      </c>
      <c r="C226" t="s">
        <v>437</v>
      </c>
      <c r="D226">
        <v>2019</v>
      </c>
      <c r="E226">
        <v>0.7</v>
      </c>
      <c r="F226">
        <v>213</v>
      </c>
      <c r="G226">
        <v>0.44</v>
      </c>
      <c r="H226">
        <v>150</v>
      </c>
      <c r="I226">
        <v>67</v>
      </c>
      <c r="J226" s="10" t="str">
        <f t="shared" si="3"/>
        <v>Fast</v>
      </c>
    </row>
    <row r="227" spans="1:10" outlineLevel="1" x14ac:dyDescent="0.2">
      <c r="A227" t="s">
        <v>151</v>
      </c>
      <c r="B227" t="s">
        <v>61</v>
      </c>
      <c r="C227" t="s">
        <v>51</v>
      </c>
      <c r="D227">
        <v>2011</v>
      </c>
      <c r="E227">
        <v>0.69</v>
      </c>
      <c r="F227">
        <v>238</v>
      </c>
      <c r="G227">
        <v>0.71</v>
      </c>
      <c r="H227">
        <v>132</v>
      </c>
      <c r="I227">
        <v>65</v>
      </c>
      <c r="J227" s="10" t="str">
        <f t="shared" si="3"/>
        <v>Fast</v>
      </c>
    </row>
    <row r="228" spans="1:10" outlineLevel="1" x14ac:dyDescent="0.2">
      <c r="A228" t="s">
        <v>162</v>
      </c>
      <c r="B228" t="s">
        <v>163</v>
      </c>
      <c r="C228" t="s">
        <v>51</v>
      </c>
      <c r="D228">
        <v>2011</v>
      </c>
      <c r="E228">
        <v>0.69</v>
      </c>
      <c r="F228">
        <v>200</v>
      </c>
      <c r="G228">
        <v>0.78</v>
      </c>
      <c r="H228">
        <v>100</v>
      </c>
      <c r="I228">
        <v>75</v>
      </c>
      <c r="J228" s="10" t="str">
        <f t="shared" si="3"/>
        <v>Fast</v>
      </c>
    </row>
    <row r="229" spans="1:10" outlineLevel="1" x14ac:dyDescent="0.2">
      <c r="A229" t="s">
        <v>198</v>
      </c>
      <c r="B229" t="s">
        <v>111</v>
      </c>
      <c r="C229" t="s">
        <v>112</v>
      </c>
      <c r="D229">
        <v>2011</v>
      </c>
      <c r="E229">
        <v>0.69</v>
      </c>
      <c r="F229">
        <v>263</v>
      </c>
      <c r="G229">
        <v>0.79</v>
      </c>
      <c r="H229">
        <v>100</v>
      </c>
      <c r="I229">
        <v>69</v>
      </c>
      <c r="J229" s="10" t="str">
        <f t="shared" si="3"/>
        <v>Fast</v>
      </c>
    </row>
    <row r="230" spans="1:10" outlineLevel="1" x14ac:dyDescent="0.2">
      <c r="A230" t="s">
        <v>229</v>
      </c>
      <c r="B230" t="s">
        <v>10</v>
      </c>
      <c r="C230" t="s">
        <v>51</v>
      </c>
      <c r="D230">
        <v>2012</v>
      </c>
      <c r="E230">
        <v>0.69</v>
      </c>
      <c r="F230">
        <v>227</v>
      </c>
      <c r="G230">
        <v>0.8</v>
      </c>
      <c r="H230">
        <v>134</v>
      </c>
      <c r="I230">
        <v>67</v>
      </c>
      <c r="J230" s="10" t="str">
        <f t="shared" si="3"/>
        <v>Fast</v>
      </c>
    </row>
    <row r="231" spans="1:10" outlineLevel="1" x14ac:dyDescent="0.2">
      <c r="A231" t="s">
        <v>261</v>
      </c>
      <c r="B231" t="s">
        <v>61</v>
      </c>
      <c r="C231" t="s">
        <v>51</v>
      </c>
      <c r="D231">
        <v>2013</v>
      </c>
      <c r="E231">
        <v>0.69</v>
      </c>
      <c r="F231">
        <v>257</v>
      </c>
      <c r="G231">
        <v>0.56999999999999995</v>
      </c>
      <c r="H231">
        <v>128</v>
      </c>
      <c r="I231">
        <v>45</v>
      </c>
      <c r="J231" s="10" t="str">
        <f t="shared" si="3"/>
        <v>Fast</v>
      </c>
    </row>
    <row r="232" spans="1:10" outlineLevel="1" x14ac:dyDescent="0.2">
      <c r="A232" t="s">
        <v>290</v>
      </c>
      <c r="B232" t="s">
        <v>165</v>
      </c>
      <c r="C232" t="s">
        <v>51</v>
      </c>
      <c r="D232">
        <v>2013</v>
      </c>
      <c r="E232">
        <v>0.69</v>
      </c>
      <c r="F232">
        <v>244</v>
      </c>
      <c r="G232">
        <v>0.73</v>
      </c>
      <c r="H232">
        <v>128</v>
      </c>
      <c r="I232">
        <v>57</v>
      </c>
      <c r="J232" s="10" t="str">
        <f t="shared" si="3"/>
        <v>Fast</v>
      </c>
    </row>
    <row r="233" spans="1:10" outlineLevel="1" x14ac:dyDescent="0.2">
      <c r="A233" t="s">
        <v>402</v>
      </c>
      <c r="B233" t="s">
        <v>10</v>
      </c>
      <c r="C233" t="s">
        <v>51</v>
      </c>
      <c r="D233">
        <v>2014</v>
      </c>
      <c r="E233">
        <v>0.69</v>
      </c>
      <c r="F233">
        <v>204</v>
      </c>
      <c r="G233">
        <v>0.64</v>
      </c>
      <c r="H233">
        <v>96</v>
      </c>
      <c r="I233">
        <v>66</v>
      </c>
      <c r="J233" s="10" t="str">
        <f t="shared" si="3"/>
        <v>Slow</v>
      </c>
    </row>
    <row r="234" spans="1:10" outlineLevel="1" x14ac:dyDescent="0.2">
      <c r="A234" t="s">
        <v>410</v>
      </c>
      <c r="B234" t="s">
        <v>411</v>
      </c>
      <c r="C234" t="s">
        <v>83</v>
      </c>
      <c r="D234">
        <v>2014</v>
      </c>
      <c r="E234">
        <v>0.69</v>
      </c>
      <c r="F234">
        <v>193</v>
      </c>
      <c r="G234">
        <v>0.57999999999999996</v>
      </c>
      <c r="H234">
        <v>100</v>
      </c>
      <c r="I234">
        <v>73</v>
      </c>
      <c r="J234" s="10" t="str">
        <f t="shared" si="3"/>
        <v>Fast</v>
      </c>
    </row>
    <row r="235" spans="1:10" outlineLevel="1" x14ac:dyDescent="0.2">
      <c r="A235" t="s">
        <v>430</v>
      </c>
      <c r="B235" t="s">
        <v>119</v>
      </c>
      <c r="C235" t="s">
        <v>120</v>
      </c>
      <c r="D235">
        <v>2014</v>
      </c>
      <c r="E235">
        <v>0.69</v>
      </c>
      <c r="F235">
        <v>207</v>
      </c>
      <c r="G235">
        <v>0.81</v>
      </c>
      <c r="H235">
        <v>138</v>
      </c>
      <c r="I235">
        <v>62</v>
      </c>
      <c r="J235" s="10" t="str">
        <f t="shared" si="3"/>
        <v>Fast</v>
      </c>
    </row>
    <row r="236" spans="1:10" outlineLevel="1" x14ac:dyDescent="0.2">
      <c r="A236" t="s">
        <v>446</v>
      </c>
      <c r="B236" t="s">
        <v>20</v>
      </c>
      <c r="C236" t="s">
        <v>51</v>
      </c>
      <c r="D236">
        <v>2015</v>
      </c>
      <c r="E236">
        <v>0.69</v>
      </c>
      <c r="F236">
        <v>215</v>
      </c>
      <c r="G236">
        <v>0.7</v>
      </c>
      <c r="H236">
        <v>130</v>
      </c>
      <c r="I236">
        <v>75</v>
      </c>
      <c r="J236" s="10" t="str">
        <f t="shared" si="3"/>
        <v>Fast</v>
      </c>
    </row>
    <row r="237" spans="1:10" outlineLevel="1" x14ac:dyDescent="0.2">
      <c r="A237" t="s">
        <v>470</v>
      </c>
      <c r="B237" t="s">
        <v>80</v>
      </c>
      <c r="C237" t="s">
        <v>51</v>
      </c>
      <c r="D237">
        <v>2015</v>
      </c>
      <c r="E237">
        <v>0.69</v>
      </c>
      <c r="F237">
        <v>192</v>
      </c>
      <c r="G237">
        <v>0.7</v>
      </c>
      <c r="H237">
        <v>94</v>
      </c>
      <c r="I237">
        <v>77</v>
      </c>
      <c r="J237" s="10" t="str">
        <f t="shared" si="3"/>
        <v>Slow</v>
      </c>
    </row>
    <row r="238" spans="1:10" outlineLevel="1" x14ac:dyDescent="0.2">
      <c r="A238" t="s">
        <v>472</v>
      </c>
      <c r="B238" t="s">
        <v>473</v>
      </c>
      <c r="C238" t="s">
        <v>51</v>
      </c>
      <c r="D238">
        <v>2015</v>
      </c>
      <c r="E238">
        <v>0.69</v>
      </c>
      <c r="F238">
        <v>203</v>
      </c>
      <c r="G238">
        <v>0.55000000000000004</v>
      </c>
      <c r="H238">
        <v>100</v>
      </c>
      <c r="I238">
        <v>52</v>
      </c>
      <c r="J238" s="10" t="str">
        <f t="shared" si="3"/>
        <v>Fast</v>
      </c>
    </row>
    <row r="239" spans="1:10" outlineLevel="1" x14ac:dyDescent="0.2">
      <c r="A239" t="s">
        <v>527</v>
      </c>
      <c r="B239" t="s">
        <v>528</v>
      </c>
      <c r="C239" t="s">
        <v>51</v>
      </c>
      <c r="D239">
        <v>2015</v>
      </c>
      <c r="E239">
        <v>0.69</v>
      </c>
      <c r="F239">
        <v>224</v>
      </c>
      <c r="G239">
        <v>0.85</v>
      </c>
      <c r="H239">
        <v>115</v>
      </c>
      <c r="I239">
        <v>69</v>
      </c>
      <c r="J239" s="10" t="str">
        <f t="shared" si="3"/>
        <v>Fast</v>
      </c>
    </row>
    <row r="240" spans="1:10" outlineLevel="1" x14ac:dyDescent="0.2">
      <c r="A240" t="s">
        <v>535</v>
      </c>
      <c r="B240" t="s">
        <v>197</v>
      </c>
      <c r="C240" t="s">
        <v>51</v>
      </c>
      <c r="D240">
        <v>2015</v>
      </c>
      <c r="E240">
        <v>0.69</v>
      </c>
      <c r="F240">
        <v>235</v>
      </c>
      <c r="G240">
        <v>0.94</v>
      </c>
      <c r="H240">
        <v>123</v>
      </c>
      <c r="I240">
        <v>67</v>
      </c>
      <c r="J240" s="10" t="str">
        <f t="shared" si="3"/>
        <v>Fast</v>
      </c>
    </row>
    <row r="241" spans="1:10" outlineLevel="1" x14ac:dyDescent="0.2">
      <c r="A241" t="s">
        <v>557</v>
      </c>
      <c r="B241" t="s">
        <v>558</v>
      </c>
      <c r="C241" t="s">
        <v>559</v>
      </c>
      <c r="D241">
        <v>2015</v>
      </c>
      <c r="E241">
        <v>0.69</v>
      </c>
      <c r="F241">
        <v>230</v>
      </c>
      <c r="G241">
        <v>0.48</v>
      </c>
      <c r="H241">
        <v>80</v>
      </c>
      <c r="I241">
        <v>56</v>
      </c>
      <c r="J241" s="10" t="str">
        <f t="shared" si="3"/>
        <v>Slow</v>
      </c>
    </row>
    <row r="242" spans="1:10" outlineLevel="1" x14ac:dyDescent="0.2">
      <c r="A242" t="s">
        <v>564</v>
      </c>
      <c r="B242" t="s">
        <v>141</v>
      </c>
      <c r="C242" t="s">
        <v>142</v>
      </c>
      <c r="D242">
        <v>2016</v>
      </c>
      <c r="E242">
        <v>0.69</v>
      </c>
      <c r="F242">
        <v>223</v>
      </c>
      <c r="G242">
        <v>0.52</v>
      </c>
      <c r="H242">
        <v>164</v>
      </c>
      <c r="I242">
        <v>61</v>
      </c>
      <c r="J242" s="10" t="str">
        <f t="shared" si="3"/>
        <v>Fast</v>
      </c>
    </row>
    <row r="243" spans="1:10" outlineLevel="1" x14ac:dyDescent="0.2">
      <c r="A243" t="s">
        <v>659</v>
      </c>
      <c r="B243" t="s">
        <v>660</v>
      </c>
      <c r="C243" t="s">
        <v>661</v>
      </c>
      <c r="D243">
        <v>2017</v>
      </c>
      <c r="E243">
        <v>0.69</v>
      </c>
      <c r="F243">
        <v>192</v>
      </c>
      <c r="G243">
        <v>0.88</v>
      </c>
      <c r="H243">
        <v>124</v>
      </c>
      <c r="I243">
        <v>70</v>
      </c>
      <c r="J243" s="10" t="str">
        <f t="shared" si="3"/>
        <v>Fast</v>
      </c>
    </row>
    <row r="244" spans="1:10" outlineLevel="1" x14ac:dyDescent="0.2">
      <c r="A244" t="s">
        <v>705</v>
      </c>
      <c r="B244" t="s">
        <v>34</v>
      </c>
      <c r="C244" t="s">
        <v>63</v>
      </c>
      <c r="D244">
        <v>2017</v>
      </c>
      <c r="E244">
        <v>0.69</v>
      </c>
      <c r="F244">
        <v>234</v>
      </c>
      <c r="G244">
        <v>0.72</v>
      </c>
      <c r="H244">
        <v>100</v>
      </c>
      <c r="I244">
        <v>72</v>
      </c>
      <c r="J244" s="10" t="str">
        <f t="shared" si="3"/>
        <v>Fast</v>
      </c>
    </row>
    <row r="245" spans="1:10" outlineLevel="1" x14ac:dyDescent="0.2">
      <c r="A245" t="s">
        <v>713</v>
      </c>
      <c r="B245" t="s">
        <v>108</v>
      </c>
      <c r="C245" t="s">
        <v>51</v>
      </c>
      <c r="D245">
        <v>2017</v>
      </c>
      <c r="E245">
        <v>0.69</v>
      </c>
      <c r="F245">
        <v>223</v>
      </c>
      <c r="G245">
        <v>0.76</v>
      </c>
      <c r="H245">
        <v>100</v>
      </c>
      <c r="I245">
        <v>57</v>
      </c>
      <c r="J245" s="10" t="str">
        <f t="shared" si="3"/>
        <v>Fast</v>
      </c>
    </row>
    <row r="246" spans="1:10" outlineLevel="1" x14ac:dyDescent="0.2">
      <c r="A246" t="s">
        <v>727</v>
      </c>
      <c r="B246" t="s">
        <v>354</v>
      </c>
      <c r="C246" t="s">
        <v>355</v>
      </c>
      <c r="D246">
        <v>2017</v>
      </c>
      <c r="E246">
        <v>0.69</v>
      </c>
      <c r="F246">
        <v>210</v>
      </c>
      <c r="G246">
        <v>0.62</v>
      </c>
      <c r="H246">
        <v>102</v>
      </c>
      <c r="I246">
        <v>80</v>
      </c>
      <c r="J246" s="10" t="str">
        <f t="shared" si="3"/>
        <v>Fast</v>
      </c>
    </row>
    <row r="247" spans="1:10" outlineLevel="1" x14ac:dyDescent="0.2">
      <c r="A247" t="s">
        <v>769</v>
      </c>
      <c r="B247" t="s">
        <v>190</v>
      </c>
      <c r="C247" t="s">
        <v>51</v>
      </c>
      <c r="D247">
        <v>2018</v>
      </c>
      <c r="E247">
        <v>0.69</v>
      </c>
      <c r="F247">
        <v>192</v>
      </c>
      <c r="G247">
        <v>0.73</v>
      </c>
      <c r="H247">
        <v>129</v>
      </c>
      <c r="I247">
        <v>73</v>
      </c>
      <c r="J247" s="10" t="str">
        <f t="shared" si="3"/>
        <v>Fast</v>
      </c>
    </row>
    <row r="248" spans="1:10" outlineLevel="1" x14ac:dyDescent="0.2">
      <c r="A248" t="s">
        <v>806</v>
      </c>
      <c r="B248" t="s">
        <v>695</v>
      </c>
      <c r="C248" t="s">
        <v>696</v>
      </c>
      <c r="D248">
        <v>2019</v>
      </c>
      <c r="E248">
        <v>0.69</v>
      </c>
      <c r="F248">
        <v>228</v>
      </c>
      <c r="G248">
        <v>0.68</v>
      </c>
      <c r="H248">
        <v>104</v>
      </c>
      <c r="I248">
        <v>88</v>
      </c>
      <c r="J248" s="10" t="str">
        <f t="shared" si="3"/>
        <v>Fast</v>
      </c>
    </row>
    <row r="249" spans="1:10" outlineLevel="1" x14ac:dyDescent="0.2">
      <c r="A249" t="s">
        <v>40</v>
      </c>
      <c r="B249" t="s">
        <v>41</v>
      </c>
      <c r="C249" t="s">
        <v>765</v>
      </c>
      <c r="D249">
        <v>2019</v>
      </c>
      <c r="E249">
        <v>0.69</v>
      </c>
      <c r="F249">
        <v>214</v>
      </c>
      <c r="G249">
        <v>0.79</v>
      </c>
      <c r="H249">
        <v>100</v>
      </c>
      <c r="I249">
        <v>90</v>
      </c>
      <c r="J249" s="10" t="str">
        <f t="shared" si="3"/>
        <v>Fast</v>
      </c>
    </row>
    <row r="250" spans="1:10" outlineLevel="1" x14ac:dyDescent="0.2">
      <c r="A250" t="s">
        <v>49</v>
      </c>
      <c r="B250" t="s">
        <v>50</v>
      </c>
      <c r="C250" t="s">
        <v>51</v>
      </c>
      <c r="D250">
        <v>2010</v>
      </c>
      <c r="E250">
        <v>0.68</v>
      </c>
      <c r="F250">
        <v>192</v>
      </c>
      <c r="G250">
        <v>0.89</v>
      </c>
      <c r="H250">
        <v>138</v>
      </c>
      <c r="I250">
        <v>62</v>
      </c>
      <c r="J250" s="10" t="str">
        <f t="shared" si="3"/>
        <v>Fast</v>
      </c>
    </row>
    <row r="251" spans="1:10" outlineLevel="1" x14ac:dyDescent="0.2">
      <c r="A251" t="s">
        <v>194</v>
      </c>
      <c r="B251" t="s">
        <v>195</v>
      </c>
      <c r="C251" t="s">
        <v>51</v>
      </c>
      <c r="D251">
        <v>2011</v>
      </c>
      <c r="E251">
        <v>0.68</v>
      </c>
      <c r="F251">
        <v>208</v>
      </c>
      <c r="G251">
        <v>0.64</v>
      </c>
      <c r="H251">
        <v>122</v>
      </c>
      <c r="I251">
        <v>38</v>
      </c>
      <c r="J251" s="10" t="str">
        <f t="shared" si="3"/>
        <v>Fast</v>
      </c>
    </row>
    <row r="252" spans="1:10" outlineLevel="1" x14ac:dyDescent="0.2">
      <c r="A252" t="s">
        <v>216</v>
      </c>
      <c r="B252" t="s">
        <v>217</v>
      </c>
      <c r="C252" t="s">
        <v>51</v>
      </c>
      <c r="D252">
        <v>2012</v>
      </c>
      <c r="E252">
        <v>0.68</v>
      </c>
      <c r="F252">
        <v>211</v>
      </c>
      <c r="G252">
        <v>0.8</v>
      </c>
      <c r="H252">
        <v>120</v>
      </c>
      <c r="I252">
        <v>65</v>
      </c>
      <c r="J252" s="10" t="str">
        <f t="shared" si="3"/>
        <v>Fast</v>
      </c>
    </row>
    <row r="253" spans="1:10" outlineLevel="1" x14ac:dyDescent="0.2">
      <c r="A253" t="s">
        <v>227</v>
      </c>
      <c r="B253" t="s">
        <v>10</v>
      </c>
      <c r="C253" t="s">
        <v>51</v>
      </c>
      <c r="D253">
        <v>2012</v>
      </c>
      <c r="E253">
        <v>0.68</v>
      </c>
      <c r="F253">
        <v>216</v>
      </c>
      <c r="G253">
        <v>0.92</v>
      </c>
      <c r="H253">
        <v>130</v>
      </c>
      <c r="I253">
        <v>71</v>
      </c>
      <c r="J253" s="10" t="str">
        <f t="shared" si="3"/>
        <v>Fast</v>
      </c>
    </row>
    <row r="254" spans="1:10" outlineLevel="1" x14ac:dyDescent="0.2">
      <c r="A254" t="s">
        <v>294</v>
      </c>
      <c r="B254" t="s">
        <v>295</v>
      </c>
      <c r="C254" t="s">
        <v>237</v>
      </c>
      <c r="D254">
        <v>2013</v>
      </c>
      <c r="E254">
        <v>0.68</v>
      </c>
      <c r="F254">
        <v>198</v>
      </c>
      <c r="G254">
        <v>0.98</v>
      </c>
      <c r="H254">
        <v>148</v>
      </c>
      <c r="I254">
        <v>52</v>
      </c>
      <c r="J254" s="10" t="str">
        <f t="shared" si="3"/>
        <v>Fast</v>
      </c>
    </row>
    <row r="255" spans="1:10" outlineLevel="1" x14ac:dyDescent="0.2">
      <c r="A255" t="s">
        <v>319</v>
      </c>
      <c r="B255" t="s">
        <v>320</v>
      </c>
      <c r="C255" t="s">
        <v>51</v>
      </c>
      <c r="D255">
        <v>2013</v>
      </c>
      <c r="E255">
        <v>0.68</v>
      </c>
      <c r="F255">
        <v>200</v>
      </c>
      <c r="G255">
        <v>0.76</v>
      </c>
      <c r="H255">
        <v>107</v>
      </c>
      <c r="I255">
        <v>51</v>
      </c>
      <c r="J255" s="10" t="str">
        <f t="shared" si="3"/>
        <v>Fast</v>
      </c>
    </row>
    <row r="256" spans="1:10" outlineLevel="1" x14ac:dyDescent="0.2">
      <c r="A256" t="s">
        <v>322</v>
      </c>
      <c r="B256" t="s">
        <v>34</v>
      </c>
      <c r="C256" t="s">
        <v>63</v>
      </c>
      <c r="D256">
        <v>2013</v>
      </c>
      <c r="E256">
        <v>0.68</v>
      </c>
      <c r="F256">
        <v>230</v>
      </c>
      <c r="G256">
        <v>0.78</v>
      </c>
      <c r="H256">
        <v>120</v>
      </c>
      <c r="I256">
        <v>65</v>
      </c>
      <c r="J256" s="10" t="str">
        <f t="shared" si="3"/>
        <v>Fast</v>
      </c>
    </row>
    <row r="257" spans="1:10" outlineLevel="1" x14ac:dyDescent="0.2">
      <c r="A257" t="s">
        <v>364</v>
      </c>
      <c r="B257" t="s">
        <v>365</v>
      </c>
      <c r="C257" t="s">
        <v>366</v>
      </c>
      <c r="D257">
        <v>2014</v>
      </c>
      <c r="E257">
        <v>0.68</v>
      </c>
      <c r="F257">
        <v>214</v>
      </c>
      <c r="G257">
        <v>0.72</v>
      </c>
      <c r="H257">
        <v>127</v>
      </c>
      <c r="I257">
        <v>73</v>
      </c>
      <c r="J257" s="10" t="str">
        <f t="shared" si="3"/>
        <v>Fast</v>
      </c>
    </row>
    <row r="258" spans="1:10" outlineLevel="1" x14ac:dyDescent="0.2">
      <c r="A258" t="s">
        <v>373</v>
      </c>
      <c r="B258" t="s">
        <v>371</v>
      </c>
      <c r="C258" t="s">
        <v>136</v>
      </c>
      <c r="D258">
        <v>2014</v>
      </c>
      <c r="E258">
        <v>0.68</v>
      </c>
      <c r="F258">
        <v>160</v>
      </c>
      <c r="G258">
        <v>0.34</v>
      </c>
      <c r="H258">
        <v>76</v>
      </c>
      <c r="I258">
        <v>49</v>
      </c>
      <c r="J258" s="10" t="str">
        <f t="shared" si="3"/>
        <v>Slow</v>
      </c>
    </row>
    <row r="259" spans="1:10" outlineLevel="1" x14ac:dyDescent="0.2">
      <c r="A259" t="s">
        <v>379</v>
      </c>
      <c r="B259" t="s">
        <v>380</v>
      </c>
      <c r="C259" t="s">
        <v>287</v>
      </c>
      <c r="D259">
        <v>2014</v>
      </c>
      <c r="E259">
        <v>0.68</v>
      </c>
      <c r="F259">
        <v>169</v>
      </c>
      <c r="G259">
        <v>0.81</v>
      </c>
      <c r="H259">
        <v>92</v>
      </c>
      <c r="I259">
        <v>50</v>
      </c>
      <c r="J259" s="10" t="str">
        <f t="shared" ref="J259:J322" si="4">IF(H259&lt;100,"Slow","Fast")</f>
        <v>Slow</v>
      </c>
    </row>
    <row r="260" spans="1:10" outlineLevel="1" x14ac:dyDescent="0.2">
      <c r="A260" t="s">
        <v>525</v>
      </c>
      <c r="B260" t="s">
        <v>526</v>
      </c>
      <c r="C260" t="s">
        <v>51</v>
      </c>
      <c r="D260">
        <v>2015</v>
      </c>
      <c r="E260">
        <v>0.68</v>
      </c>
      <c r="F260">
        <v>222</v>
      </c>
      <c r="G260">
        <v>0.71</v>
      </c>
      <c r="H260">
        <v>93</v>
      </c>
      <c r="I260">
        <v>70</v>
      </c>
      <c r="J260" s="10" t="str">
        <f t="shared" si="4"/>
        <v>Slow</v>
      </c>
    </row>
    <row r="261" spans="1:10" outlineLevel="1" x14ac:dyDescent="0.2">
      <c r="A261" t="s">
        <v>536</v>
      </c>
      <c r="B261" t="s">
        <v>197</v>
      </c>
      <c r="C261" t="s">
        <v>51</v>
      </c>
      <c r="D261">
        <v>2015</v>
      </c>
      <c r="E261">
        <v>0.68</v>
      </c>
      <c r="F261">
        <v>193</v>
      </c>
      <c r="G261">
        <v>0.85</v>
      </c>
      <c r="H261">
        <v>127</v>
      </c>
      <c r="I261">
        <v>50</v>
      </c>
      <c r="J261" s="10" t="str">
        <f t="shared" si="4"/>
        <v>Fast</v>
      </c>
    </row>
    <row r="262" spans="1:10" outlineLevel="1" x14ac:dyDescent="0.2">
      <c r="A262" t="s">
        <v>546</v>
      </c>
      <c r="B262" t="s">
        <v>429</v>
      </c>
      <c r="C262" t="s">
        <v>63</v>
      </c>
      <c r="D262">
        <v>2015</v>
      </c>
      <c r="E262">
        <v>0.68</v>
      </c>
      <c r="F262">
        <v>239</v>
      </c>
      <c r="G262">
        <v>0.49</v>
      </c>
      <c r="H262">
        <v>82</v>
      </c>
      <c r="I262">
        <v>84</v>
      </c>
      <c r="J262" s="10" t="str">
        <f t="shared" si="4"/>
        <v>Slow</v>
      </c>
    </row>
    <row r="263" spans="1:10" outlineLevel="1" x14ac:dyDescent="0.2">
      <c r="A263" t="s">
        <v>552</v>
      </c>
      <c r="B263" t="s">
        <v>553</v>
      </c>
      <c r="C263" t="s">
        <v>51</v>
      </c>
      <c r="D263">
        <v>2015</v>
      </c>
      <c r="E263">
        <v>0.68</v>
      </c>
      <c r="F263">
        <v>230</v>
      </c>
      <c r="G263">
        <v>0.94</v>
      </c>
      <c r="H263">
        <v>124</v>
      </c>
      <c r="I263">
        <v>67</v>
      </c>
      <c r="J263" s="10" t="str">
        <f t="shared" si="4"/>
        <v>Fast</v>
      </c>
    </row>
    <row r="264" spans="1:10" outlineLevel="1" x14ac:dyDescent="0.2">
      <c r="A264" t="s">
        <v>641</v>
      </c>
      <c r="B264" t="s">
        <v>16</v>
      </c>
      <c r="C264" t="s">
        <v>86</v>
      </c>
      <c r="D264">
        <v>2016</v>
      </c>
      <c r="E264">
        <v>0.68</v>
      </c>
      <c r="F264">
        <v>224</v>
      </c>
      <c r="G264">
        <v>0.77</v>
      </c>
      <c r="H264">
        <v>114</v>
      </c>
      <c r="I264">
        <v>57</v>
      </c>
      <c r="J264" s="10" t="str">
        <f t="shared" si="4"/>
        <v>Fast</v>
      </c>
    </row>
    <row r="265" spans="1:10" outlineLevel="1" x14ac:dyDescent="0.2">
      <c r="A265" t="s">
        <v>711</v>
      </c>
      <c r="B265" t="s">
        <v>526</v>
      </c>
      <c r="C265" t="s">
        <v>51</v>
      </c>
      <c r="D265">
        <v>2017</v>
      </c>
      <c r="E265">
        <v>0.68</v>
      </c>
      <c r="F265">
        <v>202</v>
      </c>
      <c r="G265">
        <v>0.53</v>
      </c>
      <c r="H265">
        <v>113</v>
      </c>
      <c r="I265">
        <v>53</v>
      </c>
      <c r="J265" s="10" t="str">
        <f t="shared" si="4"/>
        <v>Fast</v>
      </c>
    </row>
    <row r="266" spans="1:10" outlineLevel="1" x14ac:dyDescent="0.2">
      <c r="A266" t="s">
        <v>723</v>
      </c>
      <c r="B266" t="s">
        <v>555</v>
      </c>
      <c r="C266" t="s">
        <v>441</v>
      </c>
      <c r="D266">
        <v>2017</v>
      </c>
      <c r="E266">
        <v>0.68</v>
      </c>
      <c r="F266">
        <v>230</v>
      </c>
      <c r="G266">
        <v>0.59</v>
      </c>
      <c r="H266">
        <v>186</v>
      </c>
      <c r="I266">
        <v>85</v>
      </c>
      <c r="J266" s="10" t="str">
        <f t="shared" si="4"/>
        <v>Fast</v>
      </c>
    </row>
    <row r="267" spans="1:10" outlineLevel="1" x14ac:dyDescent="0.2">
      <c r="A267" t="s">
        <v>29</v>
      </c>
      <c r="B267" t="s">
        <v>30</v>
      </c>
      <c r="C267" t="s">
        <v>51</v>
      </c>
      <c r="D267">
        <v>2018</v>
      </c>
      <c r="E267">
        <v>0.68</v>
      </c>
      <c r="F267">
        <v>181</v>
      </c>
      <c r="G267">
        <v>0.75</v>
      </c>
      <c r="H267">
        <v>118</v>
      </c>
      <c r="I267">
        <v>78</v>
      </c>
      <c r="J267" s="10" t="str">
        <f t="shared" si="4"/>
        <v>Fast</v>
      </c>
    </row>
    <row r="268" spans="1:10" outlineLevel="1" x14ac:dyDescent="0.2">
      <c r="A268" t="s">
        <v>768</v>
      </c>
      <c r="B268" t="s">
        <v>710</v>
      </c>
      <c r="C268" t="s">
        <v>51</v>
      </c>
      <c r="D268">
        <v>2018</v>
      </c>
      <c r="E268">
        <v>0.68</v>
      </c>
      <c r="F268">
        <v>233</v>
      </c>
      <c r="G268">
        <v>0.41</v>
      </c>
      <c r="H268">
        <v>112</v>
      </c>
      <c r="I268">
        <v>64</v>
      </c>
      <c r="J268" s="10" t="str">
        <f t="shared" si="4"/>
        <v>Fast</v>
      </c>
    </row>
    <row r="269" spans="1:10" outlineLevel="1" x14ac:dyDescent="0.2">
      <c r="A269" t="s">
        <v>99</v>
      </c>
      <c r="B269" t="s">
        <v>100</v>
      </c>
      <c r="C269" t="s">
        <v>101</v>
      </c>
      <c r="D269">
        <v>2010</v>
      </c>
      <c r="E269">
        <v>0.67</v>
      </c>
      <c r="F269">
        <v>191</v>
      </c>
      <c r="G269">
        <v>0.98</v>
      </c>
      <c r="H269">
        <v>128</v>
      </c>
      <c r="I269">
        <v>0</v>
      </c>
      <c r="J269" s="10" t="str">
        <f t="shared" si="4"/>
        <v>Fast</v>
      </c>
    </row>
    <row r="270" spans="1:10" outlineLevel="1" x14ac:dyDescent="0.2">
      <c r="A270" t="s">
        <v>126</v>
      </c>
      <c r="B270" t="s">
        <v>125</v>
      </c>
      <c r="C270" t="s">
        <v>51</v>
      </c>
      <c r="D270">
        <v>2010</v>
      </c>
      <c r="E270">
        <v>0.67</v>
      </c>
      <c r="F270">
        <v>186</v>
      </c>
      <c r="G270">
        <v>0.9</v>
      </c>
      <c r="H270">
        <v>122</v>
      </c>
      <c r="I270">
        <v>33</v>
      </c>
      <c r="J270" s="10" t="str">
        <f t="shared" si="4"/>
        <v>Fast</v>
      </c>
    </row>
    <row r="271" spans="1:10" outlineLevel="1" x14ac:dyDescent="0.2">
      <c r="A271" t="s">
        <v>134</v>
      </c>
      <c r="B271" t="s">
        <v>135</v>
      </c>
      <c r="C271" t="s">
        <v>136</v>
      </c>
      <c r="D271">
        <v>2010</v>
      </c>
      <c r="E271">
        <v>0.67</v>
      </c>
      <c r="F271">
        <v>217</v>
      </c>
      <c r="G271">
        <v>0.89</v>
      </c>
      <c r="H271">
        <v>97</v>
      </c>
      <c r="I271">
        <v>83</v>
      </c>
      <c r="J271" s="10" t="str">
        <f t="shared" si="4"/>
        <v>Slow</v>
      </c>
    </row>
    <row r="272" spans="1:10" outlineLevel="1" x14ac:dyDescent="0.2">
      <c r="A272" t="s">
        <v>196</v>
      </c>
      <c r="B272" t="s">
        <v>197</v>
      </c>
      <c r="C272" t="s">
        <v>51</v>
      </c>
      <c r="D272">
        <v>2011</v>
      </c>
      <c r="E272">
        <v>0.67</v>
      </c>
      <c r="F272">
        <v>252</v>
      </c>
      <c r="G272">
        <v>0.94</v>
      </c>
      <c r="H272">
        <v>129</v>
      </c>
      <c r="I272">
        <v>79</v>
      </c>
      <c r="J272" s="10" t="str">
        <f t="shared" si="4"/>
        <v>Fast</v>
      </c>
    </row>
    <row r="273" spans="1:10" outlineLevel="1" x14ac:dyDescent="0.2">
      <c r="A273" t="s">
        <v>218</v>
      </c>
      <c r="B273" t="s">
        <v>22</v>
      </c>
      <c r="C273" t="s">
        <v>219</v>
      </c>
      <c r="D273">
        <v>2012</v>
      </c>
      <c r="E273">
        <v>0.67</v>
      </c>
      <c r="F273">
        <v>277</v>
      </c>
      <c r="G273">
        <v>0.74</v>
      </c>
      <c r="H273">
        <v>108</v>
      </c>
      <c r="I273">
        <v>72</v>
      </c>
      <c r="J273" s="10" t="str">
        <f t="shared" si="4"/>
        <v>Fast</v>
      </c>
    </row>
    <row r="274" spans="1:10" outlineLevel="1" x14ac:dyDescent="0.2">
      <c r="A274" t="s">
        <v>240</v>
      </c>
      <c r="B274" t="s">
        <v>195</v>
      </c>
      <c r="C274" t="s">
        <v>51</v>
      </c>
      <c r="D274">
        <v>2012</v>
      </c>
      <c r="E274">
        <v>0.67</v>
      </c>
      <c r="F274">
        <v>248</v>
      </c>
      <c r="G274">
        <v>0.63</v>
      </c>
      <c r="H274">
        <v>104</v>
      </c>
      <c r="I274">
        <v>74</v>
      </c>
      <c r="J274" s="10" t="str">
        <f t="shared" si="4"/>
        <v>Fast</v>
      </c>
    </row>
    <row r="275" spans="1:10" outlineLevel="1" x14ac:dyDescent="0.2">
      <c r="A275" t="s">
        <v>242</v>
      </c>
      <c r="B275" t="s">
        <v>197</v>
      </c>
      <c r="C275" t="s">
        <v>51</v>
      </c>
      <c r="D275">
        <v>2012</v>
      </c>
      <c r="E275">
        <v>0.67</v>
      </c>
      <c r="F275">
        <v>227</v>
      </c>
      <c r="G275">
        <v>0.86</v>
      </c>
      <c r="H275">
        <v>120</v>
      </c>
      <c r="I275">
        <v>72</v>
      </c>
      <c r="J275" s="10" t="str">
        <f t="shared" si="4"/>
        <v>Fast</v>
      </c>
    </row>
    <row r="276" spans="1:10" outlineLevel="1" x14ac:dyDescent="0.2">
      <c r="A276" t="s">
        <v>281</v>
      </c>
      <c r="B276" t="s">
        <v>280</v>
      </c>
      <c r="C276" t="s">
        <v>51</v>
      </c>
      <c r="D276">
        <v>2013</v>
      </c>
      <c r="E276">
        <v>0.67</v>
      </c>
      <c r="F276">
        <v>197</v>
      </c>
      <c r="G276">
        <v>0.8</v>
      </c>
      <c r="H276">
        <v>95</v>
      </c>
      <c r="I276">
        <v>60</v>
      </c>
      <c r="J276" s="10" t="str">
        <f t="shared" si="4"/>
        <v>Slow</v>
      </c>
    </row>
    <row r="277" spans="1:10" outlineLevel="1" x14ac:dyDescent="0.2">
      <c r="A277" t="s">
        <v>311</v>
      </c>
      <c r="B277" t="s">
        <v>95</v>
      </c>
      <c r="C277" t="s">
        <v>51</v>
      </c>
      <c r="D277">
        <v>2013</v>
      </c>
      <c r="E277">
        <v>0.67</v>
      </c>
      <c r="F277">
        <v>212</v>
      </c>
      <c r="G277">
        <v>0.78</v>
      </c>
      <c r="H277">
        <v>140</v>
      </c>
      <c r="I277">
        <v>52</v>
      </c>
      <c r="J277" s="10" t="str">
        <f t="shared" si="4"/>
        <v>Fast</v>
      </c>
    </row>
    <row r="278" spans="1:10" outlineLevel="1" x14ac:dyDescent="0.2">
      <c r="A278" t="s">
        <v>334</v>
      </c>
      <c r="B278" t="s">
        <v>197</v>
      </c>
      <c r="C278" t="s">
        <v>51</v>
      </c>
      <c r="D278">
        <v>2013</v>
      </c>
      <c r="E278">
        <v>0.67</v>
      </c>
      <c r="F278">
        <v>230</v>
      </c>
      <c r="G278">
        <v>0.76</v>
      </c>
      <c r="H278">
        <v>136</v>
      </c>
      <c r="I278">
        <v>70</v>
      </c>
      <c r="J278" s="10" t="str">
        <f t="shared" si="4"/>
        <v>Fast</v>
      </c>
    </row>
    <row r="279" spans="1:10" outlineLevel="1" x14ac:dyDescent="0.2">
      <c r="A279" t="s">
        <v>339</v>
      </c>
      <c r="B279" t="s">
        <v>338</v>
      </c>
      <c r="C279" t="s">
        <v>51</v>
      </c>
      <c r="D279">
        <v>2013</v>
      </c>
      <c r="E279">
        <v>0.67</v>
      </c>
      <c r="F279">
        <v>230</v>
      </c>
      <c r="G279">
        <v>0.83</v>
      </c>
      <c r="H279">
        <v>127</v>
      </c>
      <c r="I279">
        <v>41</v>
      </c>
      <c r="J279" s="10" t="str">
        <f t="shared" si="4"/>
        <v>Fast</v>
      </c>
    </row>
    <row r="280" spans="1:10" outlineLevel="1" x14ac:dyDescent="0.2">
      <c r="A280" t="s">
        <v>447</v>
      </c>
      <c r="B280" t="s">
        <v>20</v>
      </c>
      <c r="C280" t="s">
        <v>51</v>
      </c>
      <c r="D280">
        <v>2015</v>
      </c>
      <c r="E280">
        <v>0.67</v>
      </c>
      <c r="F280">
        <v>211</v>
      </c>
      <c r="G280">
        <v>0.88</v>
      </c>
      <c r="H280">
        <v>100</v>
      </c>
      <c r="I280">
        <v>66</v>
      </c>
      <c r="J280" s="10" t="str">
        <f t="shared" si="4"/>
        <v>Fast</v>
      </c>
    </row>
    <row r="281" spans="1:10" outlineLevel="1" x14ac:dyDescent="0.2">
      <c r="A281" t="s">
        <v>511</v>
      </c>
      <c r="B281" t="s">
        <v>510</v>
      </c>
      <c r="C281" t="s">
        <v>51</v>
      </c>
      <c r="D281">
        <v>2015</v>
      </c>
      <c r="E281">
        <v>0.67</v>
      </c>
      <c r="F281">
        <v>219</v>
      </c>
      <c r="G281">
        <v>0.79</v>
      </c>
      <c r="H281">
        <v>123</v>
      </c>
      <c r="I281">
        <v>52</v>
      </c>
      <c r="J281" s="10" t="str">
        <f t="shared" si="4"/>
        <v>Fast</v>
      </c>
    </row>
    <row r="282" spans="1:10" outlineLevel="1" x14ac:dyDescent="0.2">
      <c r="A282" t="s">
        <v>529</v>
      </c>
      <c r="B282" t="s">
        <v>236</v>
      </c>
      <c r="C282" t="s">
        <v>237</v>
      </c>
      <c r="D282">
        <v>2015</v>
      </c>
      <c r="E282">
        <v>0.67</v>
      </c>
      <c r="F282">
        <v>227</v>
      </c>
      <c r="G282">
        <v>0.52</v>
      </c>
      <c r="H282">
        <v>120</v>
      </c>
      <c r="I282">
        <v>77</v>
      </c>
      <c r="J282" s="10" t="str">
        <f t="shared" si="4"/>
        <v>Fast</v>
      </c>
    </row>
    <row r="283" spans="1:10" outlineLevel="1" x14ac:dyDescent="0.2">
      <c r="A283" t="s">
        <v>544</v>
      </c>
      <c r="B283" t="s">
        <v>545</v>
      </c>
      <c r="C283" t="s">
        <v>51</v>
      </c>
      <c r="D283">
        <v>2015</v>
      </c>
      <c r="E283">
        <v>0.67</v>
      </c>
      <c r="F283">
        <v>242</v>
      </c>
      <c r="G283">
        <v>0.75</v>
      </c>
      <c r="H283">
        <v>123</v>
      </c>
      <c r="I283">
        <v>62</v>
      </c>
      <c r="J283" s="10" t="str">
        <f t="shared" si="4"/>
        <v>Fast</v>
      </c>
    </row>
    <row r="284" spans="1:10" outlineLevel="1" x14ac:dyDescent="0.2">
      <c r="A284" t="s">
        <v>548</v>
      </c>
      <c r="B284" t="s">
        <v>343</v>
      </c>
      <c r="C284" t="s">
        <v>51</v>
      </c>
      <c r="D284">
        <v>2015</v>
      </c>
      <c r="E284">
        <v>0.67</v>
      </c>
      <c r="F284">
        <v>229</v>
      </c>
      <c r="G284">
        <v>0.59</v>
      </c>
      <c r="H284">
        <v>98</v>
      </c>
      <c r="I284">
        <v>69</v>
      </c>
      <c r="J284" s="10" t="str">
        <f t="shared" si="4"/>
        <v>Slow</v>
      </c>
    </row>
    <row r="285" spans="1:10" outlineLevel="1" x14ac:dyDescent="0.2">
      <c r="A285" t="s">
        <v>607</v>
      </c>
      <c r="B285" t="s">
        <v>298</v>
      </c>
      <c r="C285" t="s">
        <v>51</v>
      </c>
      <c r="D285">
        <v>2016</v>
      </c>
      <c r="E285">
        <v>0.67</v>
      </c>
      <c r="F285">
        <v>236</v>
      </c>
      <c r="G285">
        <v>0.83</v>
      </c>
      <c r="H285">
        <v>113</v>
      </c>
      <c r="I285">
        <v>79</v>
      </c>
      <c r="J285" s="10" t="str">
        <f t="shared" si="4"/>
        <v>Fast</v>
      </c>
    </row>
    <row r="286" spans="1:10" outlineLevel="1" x14ac:dyDescent="0.2">
      <c r="A286" t="s">
        <v>609</v>
      </c>
      <c r="B286" t="s">
        <v>95</v>
      </c>
      <c r="C286" t="s">
        <v>51</v>
      </c>
      <c r="D286">
        <v>2016</v>
      </c>
      <c r="E286">
        <v>0.67</v>
      </c>
      <c r="F286">
        <v>205</v>
      </c>
      <c r="G286">
        <v>0.42</v>
      </c>
      <c r="H286">
        <v>130</v>
      </c>
      <c r="I286">
        <v>80</v>
      </c>
      <c r="J286" s="10" t="str">
        <f t="shared" si="4"/>
        <v>Fast</v>
      </c>
    </row>
    <row r="287" spans="1:10" outlineLevel="1" x14ac:dyDescent="0.2">
      <c r="A287" t="s">
        <v>638</v>
      </c>
      <c r="B287" t="s">
        <v>111</v>
      </c>
      <c r="C287" t="s">
        <v>112</v>
      </c>
      <c r="D287">
        <v>2016</v>
      </c>
      <c r="E287">
        <v>0.67</v>
      </c>
      <c r="F287">
        <v>192</v>
      </c>
      <c r="G287">
        <v>0.31</v>
      </c>
      <c r="H287">
        <v>111</v>
      </c>
      <c r="I287">
        <v>80</v>
      </c>
      <c r="J287" s="10" t="str">
        <f t="shared" si="4"/>
        <v>Fast</v>
      </c>
    </row>
    <row r="288" spans="1:10" outlineLevel="1" x14ac:dyDescent="0.2">
      <c r="A288" t="s">
        <v>650</v>
      </c>
      <c r="B288" t="s">
        <v>651</v>
      </c>
      <c r="C288" t="s">
        <v>51</v>
      </c>
      <c r="D288">
        <v>2016</v>
      </c>
      <c r="E288">
        <v>0.67</v>
      </c>
      <c r="F288">
        <v>199</v>
      </c>
      <c r="G288">
        <v>0.69</v>
      </c>
      <c r="H288">
        <v>102</v>
      </c>
      <c r="I288">
        <v>69</v>
      </c>
      <c r="J288" s="10" t="str">
        <f t="shared" si="4"/>
        <v>Fast</v>
      </c>
    </row>
    <row r="289" spans="1:10" outlineLevel="1" x14ac:dyDescent="0.2">
      <c r="A289" t="s">
        <v>718</v>
      </c>
      <c r="B289" t="s">
        <v>433</v>
      </c>
      <c r="C289" t="s">
        <v>434</v>
      </c>
      <c r="D289">
        <v>2017</v>
      </c>
      <c r="E289">
        <v>0.67</v>
      </c>
      <c r="F289">
        <v>210</v>
      </c>
      <c r="G289">
        <v>0.73</v>
      </c>
      <c r="H289">
        <v>192</v>
      </c>
      <c r="I289">
        <v>76</v>
      </c>
      <c r="J289" s="10" t="str">
        <f t="shared" si="4"/>
        <v>Fast</v>
      </c>
    </row>
    <row r="290" spans="1:10" outlineLevel="1" x14ac:dyDescent="0.2">
      <c r="A290" t="s">
        <v>27</v>
      </c>
      <c r="B290" t="s">
        <v>28</v>
      </c>
      <c r="C290" t="s">
        <v>51</v>
      </c>
      <c r="D290">
        <v>2018</v>
      </c>
      <c r="E290">
        <v>0.67</v>
      </c>
      <c r="F290">
        <v>204</v>
      </c>
      <c r="G290">
        <v>0.67</v>
      </c>
      <c r="H290">
        <v>98</v>
      </c>
      <c r="I290">
        <v>76</v>
      </c>
      <c r="J290" s="10" t="str">
        <f t="shared" si="4"/>
        <v>Slow</v>
      </c>
    </row>
    <row r="291" spans="1:10" outlineLevel="1" x14ac:dyDescent="0.2">
      <c r="A291" t="s">
        <v>809</v>
      </c>
      <c r="B291" t="s">
        <v>810</v>
      </c>
      <c r="C291" t="s">
        <v>811</v>
      </c>
      <c r="D291">
        <v>2019</v>
      </c>
      <c r="E291">
        <v>0.67</v>
      </c>
      <c r="F291">
        <v>159</v>
      </c>
      <c r="G291">
        <v>0.89</v>
      </c>
      <c r="H291">
        <v>96</v>
      </c>
      <c r="I291">
        <v>90</v>
      </c>
      <c r="J291" s="10" t="str">
        <f t="shared" si="4"/>
        <v>Slow</v>
      </c>
    </row>
    <row r="292" spans="1:10" outlineLevel="1" x14ac:dyDescent="0.2">
      <c r="A292" t="s">
        <v>813</v>
      </c>
      <c r="B292" t="s">
        <v>814</v>
      </c>
      <c r="C292" t="s">
        <v>51</v>
      </c>
      <c r="D292">
        <v>2019</v>
      </c>
      <c r="E292">
        <v>0.67</v>
      </c>
      <c r="F292">
        <v>178</v>
      </c>
      <c r="G292">
        <v>0.88</v>
      </c>
      <c r="H292">
        <v>99</v>
      </c>
      <c r="I292">
        <v>86</v>
      </c>
      <c r="J292" s="10" t="str">
        <f t="shared" si="4"/>
        <v>Slow</v>
      </c>
    </row>
    <row r="293" spans="1:10" outlineLevel="1" x14ac:dyDescent="0.2">
      <c r="A293" t="s">
        <v>139</v>
      </c>
      <c r="B293" t="s">
        <v>138</v>
      </c>
      <c r="C293" t="s">
        <v>123</v>
      </c>
      <c r="D293">
        <v>2010</v>
      </c>
      <c r="E293">
        <v>0.66</v>
      </c>
      <c r="F293">
        <v>221</v>
      </c>
      <c r="G293">
        <v>0.86</v>
      </c>
      <c r="H293">
        <v>120</v>
      </c>
      <c r="I293">
        <v>52</v>
      </c>
      <c r="J293" s="10" t="str">
        <f t="shared" si="4"/>
        <v>Fast</v>
      </c>
    </row>
    <row r="294" spans="1:10" outlineLevel="1" x14ac:dyDescent="0.2">
      <c r="A294" t="s">
        <v>182</v>
      </c>
      <c r="B294" t="s">
        <v>95</v>
      </c>
      <c r="C294" t="s">
        <v>51</v>
      </c>
      <c r="D294">
        <v>2011</v>
      </c>
      <c r="E294">
        <v>0.66</v>
      </c>
      <c r="F294">
        <v>249</v>
      </c>
      <c r="G294">
        <v>0.93</v>
      </c>
      <c r="H294">
        <v>131</v>
      </c>
      <c r="I294">
        <v>63</v>
      </c>
      <c r="J294" s="10" t="str">
        <f t="shared" si="4"/>
        <v>Fast</v>
      </c>
    </row>
    <row r="295" spans="1:10" outlineLevel="1" x14ac:dyDescent="0.2">
      <c r="A295" t="s">
        <v>205</v>
      </c>
      <c r="B295" t="s">
        <v>128</v>
      </c>
      <c r="C295" t="s">
        <v>51</v>
      </c>
      <c r="D295">
        <v>2011</v>
      </c>
      <c r="E295">
        <v>0.66</v>
      </c>
      <c r="F295">
        <v>219</v>
      </c>
      <c r="G295">
        <v>0.63</v>
      </c>
      <c r="H295">
        <v>94</v>
      </c>
      <c r="I295">
        <v>71</v>
      </c>
      <c r="J295" s="10" t="str">
        <f t="shared" si="4"/>
        <v>Slow</v>
      </c>
    </row>
    <row r="296" spans="1:10" outlineLevel="1" x14ac:dyDescent="0.2">
      <c r="A296" t="s">
        <v>321</v>
      </c>
      <c r="B296" t="s">
        <v>34</v>
      </c>
      <c r="C296" t="s">
        <v>63</v>
      </c>
      <c r="D296">
        <v>2013</v>
      </c>
      <c r="E296">
        <v>0.66</v>
      </c>
      <c r="F296">
        <v>225</v>
      </c>
      <c r="G296">
        <v>0.67</v>
      </c>
      <c r="H296">
        <v>120</v>
      </c>
      <c r="I296">
        <v>66</v>
      </c>
      <c r="J296" s="10" t="str">
        <f t="shared" si="4"/>
        <v>Fast</v>
      </c>
    </row>
    <row r="297" spans="1:10" outlineLevel="1" x14ac:dyDescent="0.2">
      <c r="A297" t="s">
        <v>327</v>
      </c>
      <c r="B297" t="s">
        <v>328</v>
      </c>
      <c r="C297" t="s">
        <v>51</v>
      </c>
      <c r="D297">
        <v>2013</v>
      </c>
      <c r="E297">
        <v>0.66</v>
      </c>
      <c r="F297">
        <v>252</v>
      </c>
      <c r="G297">
        <v>0.68</v>
      </c>
      <c r="H297">
        <v>125</v>
      </c>
      <c r="I297">
        <v>70</v>
      </c>
      <c r="J297" s="10" t="str">
        <f t="shared" si="4"/>
        <v>Fast</v>
      </c>
    </row>
    <row r="298" spans="1:10" outlineLevel="1" x14ac:dyDescent="0.2">
      <c r="A298" t="s">
        <v>361</v>
      </c>
      <c r="B298" t="s">
        <v>20</v>
      </c>
      <c r="C298" t="s">
        <v>51</v>
      </c>
      <c r="D298">
        <v>2014</v>
      </c>
      <c r="E298">
        <v>0.66</v>
      </c>
      <c r="F298">
        <v>194</v>
      </c>
      <c r="G298">
        <v>0.81</v>
      </c>
      <c r="H298">
        <v>103</v>
      </c>
      <c r="I298">
        <v>75</v>
      </c>
      <c r="J298" s="10" t="str">
        <f t="shared" si="4"/>
        <v>Fast</v>
      </c>
    </row>
    <row r="299" spans="1:10" outlineLevel="1" x14ac:dyDescent="0.2">
      <c r="A299" t="s">
        <v>516</v>
      </c>
      <c r="B299" t="s">
        <v>517</v>
      </c>
      <c r="C299" t="s">
        <v>51</v>
      </c>
      <c r="D299">
        <v>2015</v>
      </c>
      <c r="E299">
        <v>0.66</v>
      </c>
      <c r="F299">
        <v>184</v>
      </c>
      <c r="G299">
        <v>0.78</v>
      </c>
      <c r="H299">
        <v>79</v>
      </c>
      <c r="I299">
        <v>72</v>
      </c>
      <c r="J299" s="10" t="str">
        <f t="shared" si="4"/>
        <v>Slow</v>
      </c>
    </row>
    <row r="300" spans="1:10" outlineLevel="1" x14ac:dyDescent="0.2">
      <c r="A300" t="s">
        <v>556</v>
      </c>
      <c r="B300" t="s">
        <v>555</v>
      </c>
      <c r="C300" t="s">
        <v>441</v>
      </c>
      <c r="D300">
        <v>2015</v>
      </c>
      <c r="E300">
        <v>0.66</v>
      </c>
      <c r="F300">
        <v>252</v>
      </c>
      <c r="G300">
        <v>0.38</v>
      </c>
      <c r="H300">
        <v>120</v>
      </c>
      <c r="I300">
        <v>79</v>
      </c>
      <c r="J300" s="10" t="str">
        <f t="shared" si="4"/>
        <v>Fast</v>
      </c>
    </row>
    <row r="301" spans="1:10" outlineLevel="1" x14ac:dyDescent="0.2">
      <c r="A301" t="s">
        <v>568</v>
      </c>
      <c r="B301" t="s">
        <v>20</v>
      </c>
      <c r="C301" t="s">
        <v>51</v>
      </c>
      <c r="D301">
        <v>2016</v>
      </c>
      <c r="E301">
        <v>0.66</v>
      </c>
      <c r="F301">
        <v>236</v>
      </c>
      <c r="G301">
        <v>0.6</v>
      </c>
      <c r="H301">
        <v>134</v>
      </c>
      <c r="I301">
        <v>78</v>
      </c>
      <c r="J301" s="10" t="str">
        <f t="shared" si="4"/>
        <v>Fast</v>
      </c>
    </row>
    <row r="302" spans="1:10" outlineLevel="1" x14ac:dyDescent="0.2">
      <c r="A302" t="s">
        <v>625</v>
      </c>
      <c r="B302" t="s">
        <v>103</v>
      </c>
      <c r="C302" t="s">
        <v>51</v>
      </c>
      <c r="D302">
        <v>2016</v>
      </c>
      <c r="E302">
        <v>0.66</v>
      </c>
      <c r="F302">
        <v>198</v>
      </c>
      <c r="G302">
        <v>0.71</v>
      </c>
      <c r="H302">
        <v>102</v>
      </c>
      <c r="I302">
        <v>78</v>
      </c>
      <c r="J302" s="10" t="str">
        <f t="shared" si="4"/>
        <v>Fast</v>
      </c>
    </row>
    <row r="303" spans="1:10" outlineLevel="1" x14ac:dyDescent="0.2">
      <c r="A303" t="s">
        <v>648</v>
      </c>
      <c r="B303" t="s">
        <v>18</v>
      </c>
      <c r="C303" t="s">
        <v>437</v>
      </c>
      <c r="D303">
        <v>2016</v>
      </c>
      <c r="E303">
        <v>0.66</v>
      </c>
      <c r="F303">
        <v>194</v>
      </c>
      <c r="G303">
        <v>0.59</v>
      </c>
      <c r="H303">
        <v>90</v>
      </c>
      <c r="I303">
        <v>72</v>
      </c>
      <c r="J303" s="10" t="str">
        <f t="shared" si="4"/>
        <v>Slow</v>
      </c>
    </row>
    <row r="304" spans="1:10" outlineLevel="1" x14ac:dyDescent="0.2">
      <c r="A304" t="s">
        <v>751</v>
      </c>
      <c r="B304" t="s">
        <v>598</v>
      </c>
      <c r="C304" t="s">
        <v>51</v>
      </c>
      <c r="D304">
        <v>2018</v>
      </c>
      <c r="E304">
        <v>0.66</v>
      </c>
      <c r="F304">
        <v>175</v>
      </c>
      <c r="G304">
        <v>0.71</v>
      </c>
      <c r="H304">
        <v>103</v>
      </c>
      <c r="I304">
        <v>82</v>
      </c>
      <c r="J304" s="10" t="str">
        <f t="shared" si="4"/>
        <v>Fast</v>
      </c>
    </row>
    <row r="305" spans="1:10" outlineLevel="1" x14ac:dyDescent="0.2">
      <c r="A305" t="s">
        <v>752</v>
      </c>
      <c r="B305" t="s">
        <v>598</v>
      </c>
      <c r="C305" t="s">
        <v>51</v>
      </c>
      <c r="D305">
        <v>2018</v>
      </c>
      <c r="E305">
        <v>0.66</v>
      </c>
      <c r="F305">
        <v>219</v>
      </c>
      <c r="G305">
        <v>0.81</v>
      </c>
      <c r="H305">
        <v>100</v>
      </c>
      <c r="I305">
        <v>76</v>
      </c>
      <c r="J305" s="10" t="str">
        <f t="shared" si="4"/>
        <v>Fast</v>
      </c>
    </row>
    <row r="306" spans="1:10" outlineLevel="1" x14ac:dyDescent="0.2">
      <c r="A306" t="s">
        <v>763</v>
      </c>
      <c r="B306" t="s">
        <v>34</v>
      </c>
      <c r="C306" t="s">
        <v>63</v>
      </c>
      <c r="D306">
        <v>2018</v>
      </c>
      <c r="E306">
        <v>0.66</v>
      </c>
      <c r="F306">
        <v>191</v>
      </c>
      <c r="G306">
        <v>0.6</v>
      </c>
      <c r="H306">
        <v>126</v>
      </c>
      <c r="I306">
        <v>67</v>
      </c>
      <c r="J306" s="10" t="str">
        <f t="shared" si="4"/>
        <v>Fast</v>
      </c>
    </row>
    <row r="307" spans="1:10" outlineLevel="1" x14ac:dyDescent="0.2">
      <c r="A307" t="s">
        <v>787</v>
      </c>
      <c r="B307" t="s">
        <v>18</v>
      </c>
      <c r="C307" t="s">
        <v>437</v>
      </c>
      <c r="D307">
        <v>2018</v>
      </c>
      <c r="E307">
        <v>0.66</v>
      </c>
      <c r="F307">
        <v>193</v>
      </c>
      <c r="G307">
        <v>0.57999999999999996</v>
      </c>
      <c r="H307">
        <v>90</v>
      </c>
      <c r="I307">
        <v>76</v>
      </c>
      <c r="J307" s="10" t="str">
        <f t="shared" si="4"/>
        <v>Slow</v>
      </c>
    </row>
    <row r="308" spans="1:10" outlineLevel="1" x14ac:dyDescent="0.2">
      <c r="A308" t="s">
        <v>55</v>
      </c>
      <c r="B308" t="s">
        <v>53</v>
      </c>
      <c r="C308" t="s">
        <v>54</v>
      </c>
      <c r="D308">
        <v>2010</v>
      </c>
      <c r="E308">
        <v>0.65</v>
      </c>
      <c r="F308">
        <v>228</v>
      </c>
      <c r="G308">
        <v>0.91</v>
      </c>
      <c r="H308">
        <v>131</v>
      </c>
      <c r="I308">
        <v>59</v>
      </c>
      <c r="J308" s="10" t="str">
        <f t="shared" si="4"/>
        <v>Fast</v>
      </c>
    </row>
    <row r="309" spans="1:10" outlineLevel="1" x14ac:dyDescent="0.2">
      <c r="A309" t="s">
        <v>75</v>
      </c>
      <c r="B309" t="s">
        <v>76</v>
      </c>
      <c r="C309" t="s">
        <v>51</v>
      </c>
      <c r="D309">
        <v>2010</v>
      </c>
      <c r="E309">
        <v>0.65</v>
      </c>
      <c r="F309">
        <v>231</v>
      </c>
      <c r="G309">
        <v>0.94</v>
      </c>
      <c r="H309">
        <v>129</v>
      </c>
      <c r="I309">
        <v>63</v>
      </c>
      <c r="J309" s="10" t="str">
        <f t="shared" si="4"/>
        <v>Fast</v>
      </c>
    </row>
    <row r="310" spans="1:10" outlineLevel="1" x14ac:dyDescent="0.2">
      <c r="A310" t="s">
        <v>146</v>
      </c>
      <c r="B310" t="s">
        <v>147</v>
      </c>
      <c r="C310" t="s">
        <v>51</v>
      </c>
      <c r="D310">
        <v>2011</v>
      </c>
      <c r="E310">
        <v>0.65</v>
      </c>
      <c r="F310">
        <v>267</v>
      </c>
      <c r="G310">
        <v>0.75</v>
      </c>
      <c r="H310">
        <v>94</v>
      </c>
      <c r="I310">
        <v>76</v>
      </c>
      <c r="J310" s="10" t="str">
        <f t="shared" si="4"/>
        <v>Slow</v>
      </c>
    </row>
    <row r="311" spans="1:10" outlineLevel="1" x14ac:dyDescent="0.2">
      <c r="A311" t="s">
        <v>153</v>
      </c>
      <c r="B311" t="s">
        <v>61</v>
      </c>
      <c r="C311" t="s">
        <v>51</v>
      </c>
      <c r="D311">
        <v>2011</v>
      </c>
      <c r="E311">
        <v>0.65</v>
      </c>
      <c r="F311">
        <v>229</v>
      </c>
      <c r="G311">
        <v>0.72</v>
      </c>
      <c r="H311">
        <v>133</v>
      </c>
      <c r="I311">
        <v>59</v>
      </c>
      <c r="J311" s="10" t="str">
        <f t="shared" si="4"/>
        <v>Fast</v>
      </c>
    </row>
    <row r="312" spans="1:10" outlineLevel="1" x14ac:dyDescent="0.2">
      <c r="A312" t="s">
        <v>161</v>
      </c>
      <c r="B312" t="s">
        <v>76</v>
      </c>
      <c r="C312" t="s">
        <v>51</v>
      </c>
      <c r="D312">
        <v>2011</v>
      </c>
      <c r="E312">
        <v>0.65</v>
      </c>
      <c r="F312">
        <v>232</v>
      </c>
      <c r="G312">
        <v>0.89</v>
      </c>
      <c r="H312">
        <v>126</v>
      </c>
      <c r="I312">
        <v>63</v>
      </c>
      <c r="J312" s="10" t="str">
        <f t="shared" si="4"/>
        <v>Fast</v>
      </c>
    </row>
    <row r="313" spans="1:10" outlineLevel="1" x14ac:dyDescent="0.2">
      <c r="A313" t="s">
        <v>175</v>
      </c>
      <c r="B313" t="s">
        <v>10</v>
      </c>
      <c r="C313" t="s">
        <v>51</v>
      </c>
      <c r="D313">
        <v>2011</v>
      </c>
      <c r="E313">
        <v>0.65</v>
      </c>
      <c r="F313">
        <v>231</v>
      </c>
      <c r="G313">
        <v>0.81</v>
      </c>
      <c r="H313">
        <v>126</v>
      </c>
      <c r="I313">
        <v>27</v>
      </c>
      <c r="J313" s="10" t="str">
        <f t="shared" si="4"/>
        <v>Fast</v>
      </c>
    </row>
    <row r="314" spans="1:10" outlineLevel="1" x14ac:dyDescent="0.2">
      <c r="A314" t="s">
        <v>221</v>
      </c>
      <c r="B314" t="s">
        <v>222</v>
      </c>
      <c r="C314" t="s">
        <v>51</v>
      </c>
      <c r="D314">
        <v>2012</v>
      </c>
      <c r="E314">
        <v>0.65</v>
      </c>
      <c r="F314">
        <v>211</v>
      </c>
      <c r="G314">
        <v>0.8</v>
      </c>
      <c r="H314">
        <v>90</v>
      </c>
      <c r="I314">
        <v>54</v>
      </c>
      <c r="J314" s="10" t="str">
        <f t="shared" si="4"/>
        <v>Slow</v>
      </c>
    </row>
    <row r="315" spans="1:10" outlineLevel="1" x14ac:dyDescent="0.2">
      <c r="A315" t="s">
        <v>254</v>
      </c>
      <c r="B315" t="s">
        <v>20</v>
      </c>
      <c r="C315" t="s">
        <v>51</v>
      </c>
      <c r="D315">
        <v>2013</v>
      </c>
      <c r="E315">
        <v>0.65</v>
      </c>
      <c r="F315">
        <v>227</v>
      </c>
      <c r="G315">
        <v>0.88</v>
      </c>
      <c r="H315">
        <v>82</v>
      </c>
      <c r="I315">
        <v>68</v>
      </c>
      <c r="J315" s="10" t="str">
        <f t="shared" si="4"/>
        <v>Slow</v>
      </c>
    </row>
    <row r="316" spans="1:10" outlineLevel="1" x14ac:dyDescent="0.2">
      <c r="A316" t="s">
        <v>305</v>
      </c>
      <c r="B316" t="s">
        <v>306</v>
      </c>
      <c r="C316" t="s">
        <v>123</v>
      </c>
      <c r="D316">
        <v>2013</v>
      </c>
      <c r="E316">
        <v>0.65</v>
      </c>
      <c r="F316">
        <v>274</v>
      </c>
      <c r="G316">
        <v>0.78</v>
      </c>
      <c r="H316">
        <v>104</v>
      </c>
      <c r="I316">
        <v>28</v>
      </c>
      <c r="J316" s="10" t="str">
        <f t="shared" si="4"/>
        <v>Fast</v>
      </c>
    </row>
    <row r="317" spans="1:10" outlineLevel="1" x14ac:dyDescent="0.2">
      <c r="A317" t="s">
        <v>330</v>
      </c>
      <c r="B317" t="s">
        <v>236</v>
      </c>
      <c r="C317" t="s">
        <v>237</v>
      </c>
      <c r="D317">
        <v>2013</v>
      </c>
      <c r="E317">
        <v>0.65</v>
      </c>
      <c r="F317">
        <v>200</v>
      </c>
      <c r="G317">
        <v>0.88</v>
      </c>
      <c r="H317">
        <v>118</v>
      </c>
      <c r="I317">
        <v>73</v>
      </c>
      <c r="J317" s="10" t="str">
        <f t="shared" si="4"/>
        <v>Fast</v>
      </c>
    </row>
    <row r="318" spans="1:10" outlineLevel="1" x14ac:dyDescent="0.2">
      <c r="A318" t="s">
        <v>401</v>
      </c>
      <c r="B318" t="s">
        <v>10</v>
      </c>
      <c r="C318" t="s">
        <v>51</v>
      </c>
      <c r="D318">
        <v>2014</v>
      </c>
      <c r="E318">
        <v>0.65</v>
      </c>
      <c r="F318">
        <v>216</v>
      </c>
      <c r="G318">
        <v>0.59</v>
      </c>
      <c r="H318">
        <v>132</v>
      </c>
      <c r="I318">
        <v>78</v>
      </c>
      <c r="J318" s="10" t="str">
        <f t="shared" si="4"/>
        <v>Fast</v>
      </c>
    </row>
    <row r="319" spans="1:10" outlineLevel="1" x14ac:dyDescent="0.2">
      <c r="A319" t="s">
        <v>424</v>
      </c>
      <c r="B319" t="s">
        <v>425</v>
      </c>
      <c r="C319" t="s">
        <v>51</v>
      </c>
      <c r="D319">
        <v>2014</v>
      </c>
      <c r="E319">
        <v>0.65</v>
      </c>
      <c r="F319">
        <v>233</v>
      </c>
      <c r="G319">
        <v>0.82</v>
      </c>
      <c r="H319">
        <v>160</v>
      </c>
      <c r="I319">
        <v>79</v>
      </c>
      <c r="J319" s="10" t="str">
        <f t="shared" si="4"/>
        <v>Fast</v>
      </c>
    </row>
    <row r="320" spans="1:10" outlineLevel="1" x14ac:dyDescent="0.2">
      <c r="A320" t="s">
        <v>435</v>
      </c>
      <c r="B320" t="s">
        <v>249</v>
      </c>
      <c r="C320" t="s">
        <v>63</v>
      </c>
      <c r="D320">
        <v>2014</v>
      </c>
      <c r="E320">
        <v>0.65</v>
      </c>
      <c r="F320">
        <v>219</v>
      </c>
      <c r="G320">
        <v>0.8</v>
      </c>
      <c r="H320">
        <v>160</v>
      </c>
      <c r="I320">
        <v>78</v>
      </c>
      <c r="J320" s="10" t="str">
        <f t="shared" si="4"/>
        <v>Fast</v>
      </c>
    </row>
    <row r="321" spans="1:10" outlineLevel="1" x14ac:dyDescent="0.2">
      <c r="A321" t="s">
        <v>490</v>
      </c>
      <c r="B321" t="s">
        <v>85</v>
      </c>
      <c r="C321" t="s">
        <v>86</v>
      </c>
      <c r="D321">
        <v>2015</v>
      </c>
      <c r="E321">
        <v>0.65</v>
      </c>
      <c r="F321">
        <v>201</v>
      </c>
      <c r="G321">
        <v>0.76</v>
      </c>
      <c r="H321">
        <v>100</v>
      </c>
      <c r="I321">
        <v>81</v>
      </c>
      <c r="J321" s="10" t="str">
        <f t="shared" si="4"/>
        <v>Fast</v>
      </c>
    </row>
    <row r="322" spans="1:10" outlineLevel="1" x14ac:dyDescent="0.2">
      <c r="A322" t="s">
        <v>530</v>
      </c>
      <c r="B322" t="s">
        <v>236</v>
      </c>
      <c r="C322" t="s">
        <v>237</v>
      </c>
      <c r="D322">
        <v>2015</v>
      </c>
      <c r="E322">
        <v>0.65</v>
      </c>
      <c r="F322">
        <v>230</v>
      </c>
      <c r="G322">
        <v>0.82</v>
      </c>
      <c r="H322">
        <v>100</v>
      </c>
      <c r="I322">
        <v>55</v>
      </c>
      <c r="J322" s="10" t="str">
        <f t="shared" si="4"/>
        <v>Fast</v>
      </c>
    </row>
    <row r="323" spans="1:10" outlineLevel="1" x14ac:dyDescent="0.2">
      <c r="A323" t="s">
        <v>579</v>
      </c>
      <c r="B323" t="s">
        <v>210</v>
      </c>
      <c r="C323" t="s">
        <v>86</v>
      </c>
      <c r="D323">
        <v>2016</v>
      </c>
      <c r="E323">
        <v>0.65</v>
      </c>
      <c r="F323">
        <v>234</v>
      </c>
      <c r="G323">
        <v>0.87</v>
      </c>
      <c r="H323">
        <v>114</v>
      </c>
      <c r="I323">
        <v>46</v>
      </c>
      <c r="J323" s="10" t="str">
        <f t="shared" ref="J323:J386" si="5">IF(H323&lt;100,"Slow","Fast")</f>
        <v>Fast</v>
      </c>
    </row>
    <row r="324" spans="1:10" outlineLevel="1" x14ac:dyDescent="0.2">
      <c r="A324" t="s">
        <v>633</v>
      </c>
      <c r="B324" t="s">
        <v>526</v>
      </c>
      <c r="C324" t="s">
        <v>51</v>
      </c>
      <c r="D324">
        <v>2016</v>
      </c>
      <c r="E324">
        <v>0.65</v>
      </c>
      <c r="F324">
        <v>234</v>
      </c>
      <c r="G324">
        <v>0.62</v>
      </c>
      <c r="H324">
        <v>124</v>
      </c>
      <c r="I324">
        <v>72</v>
      </c>
      <c r="J324" s="10" t="str">
        <f t="shared" si="5"/>
        <v>Fast</v>
      </c>
    </row>
    <row r="325" spans="1:10" outlineLevel="1" x14ac:dyDescent="0.2">
      <c r="A325" t="s">
        <v>663</v>
      </c>
      <c r="B325" t="s">
        <v>20</v>
      </c>
      <c r="C325" t="s">
        <v>51</v>
      </c>
      <c r="D325">
        <v>2017</v>
      </c>
      <c r="E325">
        <v>0.65</v>
      </c>
      <c r="F325">
        <v>226</v>
      </c>
      <c r="G325">
        <v>0.74</v>
      </c>
      <c r="H325">
        <v>159</v>
      </c>
      <c r="I325">
        <v>80</v>
      </c>
      <c r="J325" s="10" t="str">
        <f t="shared" si="5"/>
        <v>Fast</v>
      </c>
    </row>
    <row r="326" spans="1:10" outlineLevel="1" x14ac:dyDescent="0.2">
      <c r="A326" t="s">
        <v>682</v>
      </c>
      <c r="B326" t="s">
        <v>683</v>
      </c>
      <c r="C326" t="s">
        <v>684</v>
      </c>
      <c r="D326">
        <v>2017</v>
      </c>
      <c r="E326">
        <v>0.65</v>
      </c>
      <c r="F326">
        <v>206</v>
      </c>
      <c r="G326">
        <v>0.72</v>
      </c>
      <c r="H326">
        <v>100</v>
      </c>
      <c r="I326">
        <v>82</v>
      </c>
      <c r="J326" s="10" t="str">
        <f t="shared" si="5"/>
        <v>Fast</v>
      </c>
    </row>
    <row r="327" spans="1:10" outlineLevel="1" x14ac:dyDescent="0.2">
      <c r="A327" t="s">
        <v>686</v>
      </c>
      <c r="B327" t="s">
        <v>587</v>
      </c>
      <c r="C327" t="s">
        <v>51</v>
      </c>
      <c r="D327">
        <v>2017</v>
      </c>
      <c r="E327">
        <v>0.65</v>
      </c>
      <c r="F327">
        <v>236</v>
      </c>
      <c r="G327">
        <v>0.69</v>
      </c>
      <c r="H327">
        <v>102</v>
      </c>
      <c r="I327">
        <v>62</v>
      </c>
      <c r="J327" s="10" t="str">
        <f t="shared" si="5"/>
        <v>Fast</v>
      </c>
    </row>
    <row r="328" spans="1:10" outlineLevel="1" x14ac:dyDescent="0.2">
      <c r="A328" t="s">
        <v>13</v>
      </c>
      <c r="B328" t="s">
        <v>14</v>
      </c>
      <c r="C328" t="s">
        <v>605</v>
      </c>
      <c r="D328">
        <v>2017</v>
      </c>
      <c r="E328">
        <v>0.65</v>
      </c>
      <c r="F328">
        <v>229</v>
      </c>
      <c r="G328">
        <v>0.82</v>
      </c>
      <c r="H328">
        <v>178</v>
      </c>
      <c r="I328">
        <v>76</v>
      </c>
      <c r="J328" s="10" t="str">
        <f t="shared" si="5"/>
        <v>Fast</v>
      </c>
    </row>
    <row r="329" spans="1:10" outlineLevel="1" x14ac:dyDescent="0.2">
      <c r="A329" t="s">
        <v>716</v>
      </c>
      <c r="B329" t="s">
        <v>543</v>
      </c>
      <c r="C329" t="s">
        <v>51</v>
      </c>
      <c r="D329">
        <v>2017</v>
      </c>
      <c r="E329">
        <v>0.65</v>
      </c>
      <c r="F329">
        <v>189</v>
      </c>
      <c r="G329">
        <v>0.81</v>
      </c>
      <c r="H329">
        <v>122</v>
      </c>
      <c r="I329">
        <v>69</v>
      </c>
      <c r="J329" s="10" t="str">
        <f t="shared" si="5"/>
        <v>Fast</v>
      </c>
    </row>
    <row r="330" spans="1:10" outlineLevel="1" x14ac:dyDescent="0.2">
      <c r="A330" t="s">
        <v>722</v>
      </c>
      <c r="B330" t="s">
        <v>18</v>
      </c>
      <c r="C330" t="s">
        <v>437</v>
      </c>
      <c r="D330">
        <v>2017</v>
      </c>
      <c r="E330">
        <v>0.65</v>
      </c>
      <c r="F330">
        <v>222</v>
      </c>
      <c r="G330">
        <v>0.64</v>
      </c>
      <c r="H330">
        <v>100</v>
      </c>
      <c r="I330">
        <v>76</v>
      </c>
      <c r="J330" s="10" t="str">
        <f t="shared" si="5"/>
        <v>Fast</v>
      </c>
    </row>
    <row r="331" spans="1:10" outlineLevel="1" x14ac:dyDescent="0.2">
      <c r="A331" t="s">
        <v>776</v>
      </c>
      <c r="B331" t="s">
        <v>545</v>
      </c>
      <c r="C331" t="s">
        <v>51</v>
      </c>
      <c r="D331">
        <v>2018</v>
      </c>
      <c r="E331">
        <v>0.65</v>
      </c>
      <c r="F331">
        <v>211</v>
      </c>
      <c r="G331">
        <v>0.81</v>
      </c>
      <c r="H331">
        <v>92</v>
      </c>
      <c r="I331">
        <v>80</v>
      </c>
      <c r="J331" s="10" t="str">
        <f t="shared" si="5"/>
        <v>Slow</v>
      </c>
    </row>
    <row r="332" spans="1:10" outlineLevel="1" x14ac:dyDescent="0.2">
      <c r="A332" t="s">
        <v>785</v>
      </c>
      <c r="B332" t="s">
        <v>249</v>
      </c>
      <c r="C332" t="s">
        <v>63</v>
      </c>
      <c r="D332">
        <v>2018</v>
      </c>
      <c r="E332">
        <v>0.65</v>
      </c>
      <c r="F332">
        <v>245</v>
      </c>
      <c r="G332">
        <v>0.59</v>
      </c>
      <c r="H332">
        <v>159</v>
      </c>
      <c r="I332">
        <v>70</v>
      </c>
      <c r="J332" s="10" t="str">
        <f t="shared" si="5"/>
        <v>Fast</v>
      </c>
    </row>
    <row r="333" spans="1:10" outlineLevel="1" x14ac:dyDescent="0.2">
      <c r="A333" t="s">
        <v>62</v>
      </c>
      <c r="B333" t="s">
        <v>24</v>
      </c>
      <c r="C333" t="s">
        <v>63</v>
      </c>
      <c r="D333">
        <v>2010</v>
      </c>
      <c r="E333">
        <v>0.64</v>
      </c>
      <c r="F333">
        <v>221</v>
      </c>
      <c r="G333">
        <v>0.84</v>
      </c>
      <c r="H333">
        <v>109</v>
      </c>
      <c r="I333">
        <v>78</v>
      </c>
      <c r="J333" s="10" t="str">
        <f t="shared" si="5"/>
        <v>Fast</v>
      </c>
    </row>
    <row r="334" spans="1:10" outlineLevel="1" x14ac:dyDescent="0.2">
      <c r="A334" t="s">
        <v>132</v>
      </c>
      <c r="B334" t="s">
        <v>133</v>
      </c>
      <c r="C334" t="s">
        <v>51</v>
      </c>
      <c r="D334">
        <v>2010</v>
      </c>
      <c r="E334">
        <v>0.64</v>
      </c>
      <c r="F334">
        <v>220</v>
      </c>
      <c r="G334">
        <v>0.95</v>
      </c>
      <c r="H334">
        <v>91</v>
      </c>
      <c r="I334">
        <v>52</v>
      </c>
      <c r="J334" s="10" t="str">
        <f t="shared" si="5"/>
        <v>Slow</v>
      </c>
    </row>
    <row r="335" spans="1:10" outlineLevel="1" x14ac:dyDescent="0.2">
      <c r="A335" t="s">
        <v>62</v>
      </c>
      <c r="B335" t="s">
        <v>24</v>
      </c>
      <c r="C335" t="s">
        <v>63</v>
      </c>
      <c r="D335">
        <v>2011</v>
      </c>
      <c r="E335">
        <v>0.64</v>
      </c>
      <c r="F335">
        <v>221</v>
      </c>
      <c r="G335">
        <v>0.84</v>
      </c>
      <c r="H335">
        <v>109</v>
      </c>
      <c r="I335">
        <v>78</v>
      </c>
      <c r="J335" s="10" t="str">
        <f t="shared" si="5"/>
        <v>Fast</v>
      </c>
    </row>
    <row r="336" spans="1:10" outlineLevel="1" x14ac:dyDescent="0.2">
      <c r="A336" t="s">
        <v>169</v>
      </c>
      <c r="B336" t="s">
        <v>170</v>
      </c>
      <c r="C336" t="s">
        <v>54</v>
      </c>
      <c r="D336">
        <v>2011</v>
      </c>
      <c r="E336">
        <v>0.64</v>
      </c>
      <c r="F336">
        <v>223</v>
      </c>
      <c r="G336">
        <v>0.83</v>
      </c>
      <c r="H336">
        <v>175</v>
      </c>
      <c r="I336">
        <v>72</v>
      </c>
      <c r="J336" s="10" t="str">
        <f t="shared" si="5"/>
        <v>Fast</v>
      </c>
    </row>
    <row r="337" spans="1:10" outlineLevel="1" x14ac:dyDescent="0.2">
      <c r="A337" t="s">
        <v>176</v>
      </c>
      <c r="B337" t="s">
        <v>10</v>
      </c>
      <c r="C337" t="s">
        <v>51</v>
      </c>
      <c r="D337">
        <v>2011</v>
      </c>
      <c r="E337">
        <v>0.64</v>
      </c>
      <c r="F337">
        <v>228</v>
      </c>
      <c r="G337">
        <v>0.83</v>
      </c>
      <c r="H337">
        <v>124</v>
      </c>
      <c r="I337">
        <v>25</v>
      </c>
      <c r="J337" s="10" t="str">
        <f t="shared" si="5"/>
        <v>Fast</v>
      </c>
    </row>
    <row r="338" spans="1:10" outlineLevel="1" x14ac:dyDescent="0.2">
      <c r="A338" t="s">
        <v>132</v>
      </c>
      <c r="B338" t="s">
        <v>133</v>
      </c>
      <c r="C338" t="s">
        <v>51</v>
      </c>
      <c r="D338">
        <v>2011</v>
      </c>
      <c r="E338">
        <v>0.64</v>
      </c>
      <c r="F338">
        <v>220</v>
      </c>
      <c r="G338">
        <v>0.95</v>
      </c>
      <c r="H338">
        <v>91</v>
      </c>
      <c r="I338">
        <v>52</v>
      </c>
      <c r="J338" s="10" t="str">
        <f t="shared" si="5"/>
        <v>Slow</v>
      </c>
    </row>
    <row r="339" spans="1:10" outlineLevel="1" x14ac:dyDescent="0.2">
      <c r="A339" t="s">
        <v>360</v>
      </c>
      <c r="B339" t="s">
        <v>57</v>
      </c>
      <c r="C339" t="s">
        <v>58</v>
      </c>
      <c r="D339">
        <v>2014</v>
      </c>
      <c r="E339">
        <v>0.64</v>
      </c>
      <c r="F339">
        <v>230</v>
      </c>
      <c r="G339">
        <v>0.54</v>
      </c>
      <c r="H339">
        <v>110</v>
      </c>
      <c r="I339">
        <v>30</v>
      </c>
      <c r="J339" s="10" t="str">
        <f t="shared" si="5"/>
        <v>Fast</v>
      </c>
    </row>
    <row r="340" spans="1:10" outlineLevel="1" x14ac:dyDescent="0.2">
      <c r="A340" t="s">
        <v>444</v>
      </c>
      <c r="B340" t="s">
        <v>57</v>
      </c>
      <c r="C340" t="s">
        <v>58</v>
      </c>
      <c r="D340">
        <v>2015</v>
      </c>
      <c r="E340">
        <v>0.64</v>
      </c>
      <c r="F340">
        <v>285</v>
      </c>
      <c r="G340">
        <v>0.67</v>
      </c>
      <c r="H340">
        <v>93</v>
      </c>
      <c r="I340">
        <v>49</v>
      </c>
      <c r="J340" s="10" t="str">
        <f t="shared" si="5"/>
        <v>Slow</v>
      </c>
    </row>
    <row r="341" spans="1:10" outlineLevel="1" x14ac:dyDescent="0.2">
      <c r="A341" t="s">
        <v>542</v>
      </c>
      <c r="B341" t="s">
        <v>543</v>
      </c>
      <c r="C341" t="s">
        <v>51</v>
      </c>
      <c r="D341">
        <v>2015</v>
      </c>
      <c r="E341">
        <v>0.64</v>
      </c>
      <c r="F341">
        <v>219</v>
      </c>
      <c r="G341">
        <v>0.82</v>
      </c>
      <c r="H341">
        <v>123</v>
      </c>
      <c r="I341">
        <v>60</v>
      </c>
      <c r="J341" s="10" t="str">
        <f t="shared" si="5"/>
        <v>Fast</v>
      </c>
    </row>
    <row r="342" spans="1:10" outlineLevel="1" x14ac:dyDescent="0.2">
      <c r="A342" t="s">
        <v>694</v>
      </c>
      <c r="B342" t="s">
        <v>695</v>
      </c>
      <c r="C342" t="s">
        <v>696</v>
      </c>
      <c r="D342">
        <v>2017</v>
      </c>
      <c r="E342">
        <v>0.64</v>
      </c>
      <c r="F342">
        <v>221</v>
      </c>
      <c r="G342">
        <v>0.53</v>
      </c>
      <c r="H342">
        <v>100</v>
      </c>
      <c r="I342">
        <v>79</v>
      </c>
      <c r="J342" s="10" t="str">
        <f t="shared" si="5"/>
        <v>Fast</v>
      </c>
    </row>
    <row r="343" spans="1:10" outlineLevel="1" x14ac:dyDescent="0.2">
      <c r="A343" t="s">
        <v>703</v>
      </c>
      <c r="B343" t="s">
        <v>314</v>
      </c>
      <c r="C343" t="s">
        <v>51</v>
      </c>
      <c r="D343">
        <v>2017</v>
      </c>
      <c r="E343">
        <v>0.64</v>
      </c>
      <c r="F343">
        <v>203</v>
      </c>
      <c r="G343">
        <v>0.75</v>
      </c>
      <c r="H343">
        <v>102</v>
      </c>
      <c r="I343">
        <v>59</v>
      </c>
      <c r="J343" s="10" t="str">
        <f t="shared" si="5"/>
        <v>Fast</v>
      </c>
    </row>
    <row r="344" spans="1:10" outlineLevel="1" x14ac:dyDescent="0.2">
      <c r="A344" t="s">
        <v>761</v>
      </c>
      <c r="B344" t="s">
        <v>702</v>
      </c>
      <c r="C344" t="s">
        <v>51</v>
      </c>
      <c r="D344">
        <v>2018</v>
      </c>
      <c r="E344">
        <v>0.64</v>
      </c>
      <c r="F344">
        <v>197</v>
      </c>
      <c r="G344">
        <v>0.81</v>
      </c>
      <c r="H344">
        <v>93</v>
      </c>
      <c r="I344">
        <v>72</v>
      </c>
      <c r="J344" s="10" t="str">
        <f t="shared" si="5"/>
        <v>Slow</v>
      </c>
    </row>
    <row r="345" spans="1:10" outlineLevel="1" x14ac:dyDescent="0.2">
      <c r="A345" t="s">
        <v>798</v>
      </c>
      <c r="B345" t="s">
        <v>6</v>
      </c>
      <c r="C345" t="s">
        <v>63</v>
      </c>
      <c r="D345">
        <v>2019</v>
      </c>
      <c r="E345">
        <v>0.64</v>
      </c>
      <c r="F345">
        <v>198</v>
      </c>
      <c r="G345">
        <v>0.65</v>
      </c>
      <c r="H345">
        <v>93</v>
      </c>
      <c r="I345">
        <v>86</v>
      </c>
      <c r="J345" s="10" t="str">
        <f t="shared" si="5"/>
        <v>Slow</v>
      </c>
    </row>
    <row r="346" spans="1:10" outlineLevel="1" x14ac:dyDescent="0.2">
      <c r="A346" t="s">
        <v>97</v>
      </c>
      <c r="B346" t="s">
        <v>95</v>
      </c>
      <c r="C346" t="s">
        <v>51</v>
      </c>
      <c r="D346">
        <v>2010</v>
      </c>
      <c r="E346">
        <v>0.63</v>
      </c>
      <c r="F346">
        <v>274</v>
      </c>
      <c r="G346">
        <v>0.8</v>
      </c>
      <c r="H346">
        <v>99</v>
      </c>
      <c r="I346">
        <v>69</v>
      </c>
      <c r="J346" s="10" t="str">
        <f t="shared" si="5"/>
        <v>Slow</v>
      </c>
    </row>
    <row r="347" spans="1:10" outlineLevel="1" x14ac:dyDescent="0.2">
      <c r="A347" t="s">
        <v>171</v>
      </c>
      <c r="B347" t="s">
        <v>172</v>
      </c>
      <c r="C347" t="s">
        <v>173</v>
      </c>
      <c r="D347">
        <v>2011</v>
      </c>
      <c r="E347">
        <v>0.63</v>
      </c>
      <c r="F347">
        <v>379</v>
      </c>
      <c r="G347">
        <v>0.69</v>
      </c>
      <c r="H347">
        <v>125</v>
      </c>
      <c r="I347">
        <v>73</v>
      </c>
      <c r="J347" s="10" t="str">
        <f t="shared" si="5"/>
        <v>Fast</v>
      </c>
    </row>
    <row r="348" spans="1:10" outlineLevel="1" x14ac:dyDescent="0.2">
      <c r="A348" t="s">
        <v>193</v>
      </c>
      <c r="B348" t="s">
        <v>108</v>
      </c>
      <c r="C348" t="s">
        <v>51</v>
      </c>
      <c r="D348">
        <v>2011</v>
      </c>
      <c r="E348">
        <v>0.63</v>
      </c>
      <c r="F348">
        <v>253</v>
      </c>
      <c r="G348">
        <v>0.69</v>
      </c>
      <c r="H348">
        <v>95</v>
      </c>
      <c r="I348">
        <v>72</v>
      </c>
      <c r="J348" s="10" t="str">
        <f t="shared" si="5"/>
        <v>Slow</v>
      </c>
    </row>
    <row r="349" spans="1:10" outlineLevel="1" x14ac:dyDescent="0.2">
      <c r="A349" t="s">
        <v>250</v>
      </c>
      <c r="B349" t="s">
        <v>249</v>
      </c>
      <c r="C349" t="s">
        <v>63</v>
      </c>
      <c r="D349">
        <v>2012</v>
      </c>
      <c r="E349">
        <v>0.63</v>
      </c>
      <c r="F349">
        <v>193</v>
      </c>
      <c r="G349">
        <v>0.68</v>
      </c>
      <c r="H349">
        <v>86</v>
      </c>
      <c r="I349">
        <v>75</v>
      </c>
      <c r="J349" s="10" t="str">
        <f t="shared" si="5"/>
        <v>Slow</v>
      </c>
    </row>
    <row r="350" spans="1:10" outlineLevel="1" x14ac:dyDescent="0.2">
      <c r="A350" t="s">
        <v>255</v>
      </c>
      <c r="B350" t="s">
        <v>256</v>
      </c>
      <c r="C350" t="s">
        <v>51</v>
      </c>
      <c r="D350">
        <v>2013</v>
      </c>
      <c r="E350">
        <v>0.63</v>
      </c>
      <c r="F350">
        <v>203</v>
      </c>
      <c r="G350">
        <v>0.78</v>
      </c>
      <c r="H350">
        <v>100</v>
      </c>
      <c r="I350">
        <v>54</v>
      </c>
      <c r="J350" s="10" t="str">
        <f t="shared" si="5"/>
        <v>Fast</v>
      </c>
    </row>
    <row r="351" spans="1:10" outlineLevel="1" x14ac:dyDescent="0.2">
      <c r="A351" t="s">
        <v>260</v>
      </c>
      <c r="B351" t="s">
        <v>61</v>
      </c>
      <c r="C351" t="s">
        <v>51</v>
      </c>
      <c r="D351">
        <v>2013</v>
      </c>
      <c r="E351">
        <v>0.63</v>
      </c>
      <c r="F351">
        <v>248</v>
      </c>
      <c r="G351">
        <v>0.82</v>
      </c>
      <c r="H351">
        <v>128</v>
      </c>
      <c r="I351">
        <v>71</v>
      </c>
      <c r="J351" s="10" t="str">
        <f t="shared" si="5"/>
        <v>Fast</v>
      </c>
    </row>
    <row r="352" spans="1:10" outlineLevel="1" x14ac:dyDescent="0.2">
      <c r="A352" t="s">
        <v>316</v>
      </c>
      <c r="B352" t="s">
        <v>317</v>
      </c>
      <c r="C352" t="s">
        <v>51</v>
      </c>
      <c r="D352">
        <v>2013</v>
      </c>
      <c r="E352">
        <v>0.63</v>
      </c>
      <c r="F352">
        <v>258</v>
      </c>
      <c r="G352">
        <v>0.93</v>
      </c>
      <c r="H352">
        <v>146</v>
      </c>
      <c r="I352">
        <v>70</v>
      </c>
      <c r="J352" s="10" t="str">
        <f t="shared" si="5"/>
        <v>Fast</v>
      </c>
    </row>
    <row r="353" spans="1:10" outlineLevel="1" x14ac:dyDescent="0.2">
      <c r="A353" t="s">
        <v>331</v>
      </c>
      <c r="B353" t="s">
        <v>236</v>
      </c>
      <c r="C353" t="s">
        <v>237</v>
      </c>
      <c r="D353">
        <v>2013</v>
      </c>
      <c r="E353">
        <v>0.63</v>
      </c>
      <c r="F353">
        <v>183</v>
      </c>
      <c r="G353">
        <v>0.93</v>
      </c>
      <c r="H353">
        <v>90</v>
      </c>
      <c r="I353">
        <v>73</v>
      </c>
      <c r="J353" s="10" t="str">
        <f t="shared" si="5"/>
        <v>Slow</v>
      </c>
    </row>
    <row r="354" spans="1:10" outlineLevel="1" x14ac:dyDescent="0.2">
      <c r="A354" t="s">
        <v>250</v>
      </c>
      <c r="B354" t="s">
        <v>249</v>
      </c>
      <c r="C354" t="s">
        <v>63</v>
      </c>
      <c r="D354">
        <v>2013</v>
      </c>
      <c r="E354">
        <v>0.63</v>
      </c>
      <c r="F354">
        <v>193</v>
      </c>
      <c r="G354">
        <v>0.68</v>
      </c>
      <c r="H354">
        <v>86</v>
      </c>
      <c r="I354">
        <v>75</v>
      </c>
      <c r="J354" s="10" t="str">
        <f t="shared" si="5"/>
        <v>Slow</v>
      </c>
    </row>
    <row r="355" spans="1:10" outlineLevel="1" x14ac:dyDescent="0.2">
      <c r="A355" t="s">
        <v>414</v>
      </c>
      <c r="B355" t="s">
        <v>320</v>
      </c>
      <c r="C355" t="s">
        <v>51</v>
      </c>
      <c r="D355">
        <v>2014</v>
      </c>
      <c r="E355">
        <v>0.63</v>
      </c>
      <c r="F355">
        <v>224</v>
      </c>
      <c r="G355">
        <v>0.57999999999999996</v>
      </c>
      <c r="H355">
        <v>149</v>
      </c>
      <c r="I355">
        <v>38</v>
      </c>
      <c r="J355" s="10" t="str">
        <f t="shared" si="5"/>
        <v>Fast</v>
      </c>
    </row>
    <row r="356" spans="1:10" outlineLevel="1" x14ac:dyDescent="0.2">
      <c r="A356" t="s">
        <v>448</v>
      </c>
      <c r="B356" t="s">
        <v>258</v>
      </c>
      <c r="C356" t="s">
        <v>101</v>
      </c>
      <c r="D356">
        <v>2015</v>
      </c>
      <c r="E356">
        <v>0.63</v>
      </c>
      <c r="F356">
        <v>233</v>
      </c>
      <c r="G356">
        <v>0.67</v>
      </c>
      <c r="H356">
        <v>116</v>
      </c>
      <c r="I356">
        <v>65</v>
      </c>
      <c r="J356" s="10" t="str">
        <f t="shared" si="5"/>
        <v>Fast</v>
      </c>
    </row>
    <row r="357" spans="1:10" outlineLevel="1" x14ac:dyDescent="0.2">
      <c r="A357" t="s">
        <v>452</v>
      </c>
      <c r="B357" t="s">
        <v>66</v>
      </c>
      <c r="C357" t="s">
        <v>51</v>
      </c>
      <c r="D357">
        <v>2015</v>
      </c>
      <c r="E357">
        <v>0.63</v>
      </c>
      <c r="F357">
        <v>218</v>
      </c>
      <c r="G357">
        <v>0.8</v>
      </c>
      <c r="H357">
        <v>176</v>
      </c>
      <c r="I357">
        <v>72</v>
      </c>
      <c r="J357" s="10" t="str">
        <f t="shared" si="5"/>
        <v>Fast</v>
      </c>
    </row>
    <row r="358" spans="1:10" outlineLevel="1" x14ac:dyDescent="0.2">
      <c r="A358" t="s">
        <v>481</v>
      </c>
      <c r="B358" t="s">
        <v>393</v>
      </c>
      <c r="C358" t="s">
        <v>51</v>
      </c>
      <c r="D358">
        <v>2015</v>
      </c>
      <c r="E358">
        <v>0.63</v>
      </c>
      <c r="F358">
        <v>217</v>
      </c>
      <c r="G358">
        <v>0.7</v>
      </c>
      <c r="H358">
        <v>82</v>
      </c>
      <c r="I358">
        <v>69</v>
      </c>
      <c r="J358" s="10" t="str">
        <f t="shared" si="5"/>
        <v>Slow</v>
      </c>
    </row>
    <row r="359" spans="1:10" outlineLevel="1" x14ac:dyDescent="0.2">
      <c r="A359" t="s">
        <v>578</v>
      </c>
      <c r="B359" t="s">
        <v>26</v>
      </c>
      <c r="C359" t="s">
        <v>51</v>
      </c>
      <c r="D359">
        <v>2016</v>
      </c>
      <c r="E359">
        <v>0.63</v>
      </c>
      <c r="F359">
        <v>222</v>
      </c>
      <c r="G359">
        <v>0.93</v>
      </c>
      <c r="H359">
        <v>124</v>
      </c>
      <c r="I359">
        <v>80</v>
      </c>
      <c r="J359" s="10" t="str">
        <f t="shared" si="5"/>
        <v>Fast</v>
      </c>
    </row>
    <row r="360" spans="1:10" outlineLevel="1" x14ac:dyDescent="0.2">
      <c r="A360" t="s">
        <v>584</v>
      </c>
      <c r="B360" t="s">
        <v>273</v>
      </c>
      <c r="C360" t="s">
        <v>51</v>
      </c>
      <c r="D360">
        <v>2016</v>
      </c>
      <c r="E360">
        <v>0.63</v>
      </c>
      <c r="F360">
        <v>194</v>
      </c>
      <c r="G360">
        <v>0.74</v>
      </c>
      <c r="H360">
        <v>87</v>
      </c>
      <c r="I360">
        <v>65</v>
      </c>
      <c r="J360" s="10" t="str">
        <f t="shared" si="5"/>
        <v>Slow</v>
      </c>
    </row>
    <row r="361" spans="1:10" outlineLevel="1" x14ac:dyDescent="0.2">
      <c r="A361" t="s">
        <v>588</v>
      </c>
      <c r="B361" t="s">
        <v>587</v>
      </c>
      <c r="C361" t="s">
        <v>51</v>
      </c>
      <c r="D361">
        <v>2016</v>
      </c>
      <c r="E361">
        <v>0.63</v>
      </c>
      <c r="F361">
        <v>197</v>
      </c>
      <c r="G361">
        <v>0.95</v>
      </c>
      <c r="H361">
        <v>130</v>
      </c>
      <c r="I361">
        <v>48</v>
      </c>
      <c r="J361" s="10" t="str">
        <f t="shared" si="5"/>
        <v>Fast</v>
      </c>
    </row>
    <row r="362" spans="1:10" outlineLevel="1" x14ac:dyDescent="0.2">
      <c r="A362" t="s">
        <v>623</v>
      </c>
      <c r="B362" t="s">
        <v>517</v>
      </c>
      <c r="C362" t="s">
        <v>51</v>
      </c>
      <c r="D362">
        <v>2016</v>
      </c>
      <c r="E362">
        <v>0.63</v>
      </c>
      <c r="F362">
        <v>225</v>
      </c>
      <c r="G362">
        <v>0.53</v>
      </c>
      <c r="H362">
        <v>108</v>
      </c>
      <c r="I362">
        <v>79</v>
      </c>
      <c r="J362" s="10" t="str">
        <f t="shared" si="5"/>
        <v>Fast</v>
      </c>
    </row>
    <row r="363" spans="1:10" outlineLevel="1" x14ac:dyDescent="0.2">
      <c r="A363" t="s">
        <v>635</v>
      </c>
      <c r="B363" t="s">
        <v>195</v>
      </c>
      <c r="C363" t="s">
        <v>51</v>
      </c>
      <c r="D363">
        <v>2016</v>
      </c>
      <c r="E363">
        <v>0.63</v>
      </c>
      <c r="F363">
        <v>215</v>
      </c>
      <c r="G363">
        <v>0.7</v>
      </c>
      <c r="H363">
        <v>163</v>
      </c>
      <c r="I363">
        <v>71</v>
      </c>
      <c r="J363" s="10" t="str">
        <f t="shared" si="5"/>
        <v>Fast</v>
      </c>
    </row>
    <row r="364" spans="1:10" outlineLevel="1" x14ac:dyDescent="0.2">
      <c r="A364" t="s">
        <v>697</v>
      </c>
      <c r="B364" t="s">
        <v>695</v>
      </c>
      <c r="C364" t="s">
        <v>696</v>
      </c>
      <c r="D364">
        <v>2017</v>
      </c>
      <c r="E364">
        <v>0.63</v>
      </c>
      <c r="F364">
        <v>194</v>
      </c>
      <c r="G364">
        <v>0.59</v>
      </c>
      <c r="H364">
        <v>90</v>
      </c>
      <c r="I364">
        <v>71</v>
      </c>
      <c r="J364" s="10" t="str">
        <f t="shared" si="5"/>
        <v>Slow</v>
      </c>
    </row>
    <row r="365" spans="1:10" outlineLevel="1" x14ac:dyDescent="0.2">
      <c r="A365" t="s">
        <v>733</v>
      </c>
      <c r="B365" t="s">
        <v>669</v>
      </c>
      <c r="C365" t="s">
        <v>51</v>
      </c>
      <c r="D365">
        <v>2018</v>
      </c>
      <c r="E365">
        <v>0.63</v>
      </c>
      <c r="F365">
        <v>227</v>
      </c>
      <c r="G365">
        <v>0.69</v>
      </c>
      <c r="H365">
        <v>130</v>
      </c>
      <c r="I365">
        <v>57</v>
      </c>
      <c r="J365" s="10" t="str">
        <f t="shared" si="5"/>
        <v>Fast</v>
      </c>
    </row>
    <row r="366" spans="1:10" outlineLevel="1" x14ac:dyDescent="0.2">
      <c r="A366" t="s">
        <v>753</v>
      </c>
      <c r="B366" t="s">
        <v>754</v>
      </c>
      <c r="C366" t="s">
        <v>51</v>
      </c>
      <c r="D366">
        <v>2018</v>
      </c>
      <c r="E366">
        <v>0.63</v>
      </c>
      <c r="F366">
        <v>220</v>
      </c>
      <c r="G366">
        <v>0.79</v>
      </c>
      <c r="H366">
        <v>104</v>
      </c>
      <c r="I366">
        <v>67</v>
      </c>
      <c r="J366" s="10" t="str">
        <f t="shared" si="5"/>
        <v>Fast</v>
      </c>
    </row>
    <row r="367" spans="1:10" outlineLevel="1" x14ac:dyDescent="0.2">
      <c r="A367" t="s">
        <v>697</v>
      </c>
      <c r="B367" t="s">
        <v>695</v>
      </c>
      <c r="C367" t="s">
        <v>696</v>
      </c>
      <c r="D367">
        <v>2018</v>
      </c>
      <c r="E367">
        <v>0.63</v>
      </c>
      <c r="F367">
        <v>194</v>
      </c>
      <c r="G367">
        <v>0.59</v>
      </c>
      <c r="H367">
        <v>90</v>
      </c>
      <c r="I367">
        <v>71</v>
      </c>
      <c r="J367" s="10" t="str">
        <f t="shared" si="5"/>
        <v>Slow</v>
      </c>
    </row>
    <row r="368" spans="1:10" outlineLevel="1" x14ac:dyDescent="0.2">
      <c r="A368" t="s">
        <v>775</v>
      </c>
      <c r="B368" t="s">
        <v>36</v>
      </c>
      <c r="C368" t="s">
        <v>51</v>
      </c>
      <c r="D368">
        <v>2018</v>
      </c>
      <c r="E368">
        <v>0.63</v>
      </c>
      <c r="F368">
        <v>215</v>
      </c>
      <c r="G368">
        <v>0.8</v>
      </c>
      <c r="H368">
        <v>107</v>
      </c>
      <c r="I368">
        <v>74</v>
      </c>
      <c r="J368" s="10" t="str">
        <f t="shared" si="5"/>
        <v>Fast</v>
      </c>
    </row>
    <row r="369" spans="1:10" outlineLevel="1" x14ac:dyDescent="0.2">
      <c r="A369" t="s">
        <v>64</v>
      </c>
      <c r="B369" t="s">
        <v>24</v>
      </c>
      <c r="C369" t="s">
        <v>63</v>
      </c>
      <c r="D369">
        <v>2010</v>
      </c>
      <c r="E369">
        <v>0.62</v>
      </c>
      <c r="F369">
        <v>230</v>
      </c>
      <c r="G369">
        <v>0.83</v>
      </c>
      <c r="H369">
        <v>145</v>
      </c>
      <c r="I369">
        <v>73</v>
      </c>
      <c r="J369" s="10" t="str">
        <f t="shared" si="5"/>
        <v>Fast</v>
      </c>
    </row>
    <row r="370" spans="1:10" outlineLevel="1" x14ac:dyDescent="0.2">
      <c r="A370" t="s">
        <v>79</v>
      </c>
      <c r="B370" t="s">
        <v>80</v>
      </c>
      <c r="C370" t="s">
        <v>51</v>
      </c>
      <c r="D370">
        <v>2010</v>
      </c>
      <c r="E370">
        <v>0.62</v>
      </c>
      <c r="F370">
        <v>235</v>
      </c>
      <c r="G370">
        <v>0.87</v>
      </c>
      <c r="H370">
        <v>128</v>
      </c>
      <c r="I370">
        <v>73</v>
      </c>
      <c r="J370" s="10" t="str">
        <f t="shared" si="5"/>
        <v>Fast</v>
      </c>
    </row>
    <row r="371" spans="1:10" outlineLevel="1" x14ac:dyDescent="0.2">
      <c r="A371" t="s">
        <v>64</v>
      </c>
      <c r="B371" t="s">
        <v>24</v>
      </c>
      <c r="C371" t="s">
        <v>63</v>
      </c>
      <c r="D371">
        <v>2011</v>
      </c>
      <c r="E371">
        <v>0.62</v>
      </c>
      <c r="F371">
        <v>230</v>
      </c>
      <c r="G371">
        <v>0.83</v>
      </c>
      <c r="H371">
        <v>145</v>
      </c>
      <c r="I371">
        <v>73</v>
      </c>
      <c r="J371" s="10" t="str">
        <f t="shared" si="5"/>
        <v>Fast</v>
      </c>
    </row>
    <row r="372" spans="1:10" outlineLevel="1" x14ac:dyDescent="0.2">
      <c r="A372" t="s">
        <v>174</v>
      </c>
      <c r="B372" t="s">
        <v>10</v>
      </c>
      <c r="C372" t="s">
        <v>51</v>
      </c>
      <c r="D372">
        <v>2011</v>
      </c>
      <c r="E372">
        <v>0.62</v>
      </c>
      <c r="F372">
        <v>230</v>
      </c>
      <c r="G372">
        <v>0.87</v>
      </c>
      <c r="H372">
        <v>152</v>
      </c>
      <c r="I372">
        <v>66</v>
      </c>
      <c r="J372" s="10" t="str">
        <f t="shared" si="5"/>
        <v>Fast</v>
      </c>
    </row>
    <row r="373" spans="1:10" outlineLevel="1" x14ac:dyDescent="0.2">
      <c r="A373" t="s">
        <v>248</v>
      </c>
      <c r="B373" t="s">
        <v>249</v>
      </c>
      <c r="C373" t="s">
        <v>63</v>
      </c>
      <c r="D373">
        <v>2012</v>
      </c>
      <c r="E373">
        <v>0.62</v>
      </c>
      <c r="F373">
        <v>220</v>
      </c>
      <c r="G373">
        <v>0.47</v>
      </c>
      <c r="H373">
        <v>77</v>
      </c>
      <c r="I373">
        <v>77</v>
      </c>
      <c r="J373" s="10" t="str">
        <f t="shared" si="5"/>
        <v>Slow</v>
      </c>
    </row>
    <row r="374" spans="1:10" outlineLevel="1" x14ac:dyDescent="0.2">
      <c r="A374" t="s">
        <v>282</v>
      </c>
      <c r="B374" t="s">
        <v>76</v>
      </c>
      <c r="C374" t="s">
        <v>51</v>
      </c>
      <c r="D374">
        <v>2013</v>
      </c>
      <c r="E374">
        <v>0.62</v>
      </c>
      <c r="F374">
        <v>221</v>
      </c>
      <c r="G374">
        <v>0.88</v>
      </c>
      <c r="H374">
        <v>128</v>
      </c>
      <c r="I374">
        <v>52</v>
      </c>
      <c r="J374" s="10" t="str">
        <f t="shared" si="5"/>
        <v>Fast</v>
      </c>
    </row>
    <row r="375" spans="1:10" outlineLevel="1" x14ac:dyDescent="0.2">
      <c r="A375" t="s">
        <v>404</v>
      </c>
      <c r="B375" t="s">
        <v>95</v>
      </c>
      <c r="C375" t="s">
        <v>51</v>
      </c>
      <c r="D375">
        <v>2014</v>
      </c>
      <c r="E375">
        <v>0.62</v>
      </c>
      <c r="F375">
        <v>233</v>
      </c>
      <c r="G375">
        <v>0.92</v>
      </c>
      <c r="H375">
        <v>110</v>
      </c>
      <c r="I375">
        <v>65</v>
      </c>
      <c r="J375" s="10" t="str">
        <f t="shared" si="5"/>
        <v>Fast</v>
      </c>
    </row>
    <row r="376" spans="1:10" outlineLevel="1" x14ac:dyDescent="0.2">
      <c r="A376" t="s">
        <v>451</v>
      </c>
      <c r="B376" t="s">
        <v>210</v>
      </c>
      <c r="C376" t="s">
        <v>86</v>
      </c>
      <c r="D376">
        <v>2015</v>
      </c>
      <c r="E376">
        <v>0.62</v>
      </c>
      <c r="F376">
        <v>205</v>
      </c>
      <c r="G376">
        <v>0.81</v>
      </c>
      <c r="H376">
        <v>122</v>
      </c>
      <c r="I376">
        <v>66</v>
      </c>
      <c r="J376" s="10" t="str">
        <f t="shared" si="5"/>
        <v>Fast</v>
      </c>
    </row>
    <row r="377" spans="1:10" outlineLevel="1" x14ac:dyDescent="0.2">
      <c r="A377" t="s">
        <v>498</v>
      </c>
      <c r="B377" t="s">
        <v>10</v>
      </c>
      <c r="C377" t="s">
        <v>51</v>
      </c>
      <c r="D377">
        <v>2015</v>
      </c>
      <c r="E377">
        <v>0.62</v>
      </c>
      <c r="F377">
        <v>224</v>
      </c>
      <c r="G377">
        <v>0.84</v>
      </c>
      <c r="H377">
        <v>126</v>
      </c>
      <c r="I377">
        <v>41</v>
      </c>
      <c r="J377" s="10" t="str">
        <f t="shared" si="5"/>
        <v>Fast</v>
      </c>
    </row>
    <row r="378" spans="1:10" outlineLevel="1" x14ac:dyDescent="0.2">
      <c r="A378" t="s">
        <v>547</v>
      </c>
      <c r="B378" t="s">
        <v>343</v>
      </c>
      <c r="C378" t="s">
        <v>51</v>
      </c>
      <c r="D378">
        <v>2015</v>
      </c>
      <c r="E378">
        <v>0.62</v>
      </c>
      <c r="F378">
        <v>227</v>
      </c>
      <c r="G378">
        <v>0.79</v>
      </c>
      <c r="H378">
        <v>83</v>
      </c>
      <c r="I378">
        <v>72</v>
      </c>
      <c r="J378" s="10" t="str">
        <f t="shared" si="5"/>
        <v>Slow</v>
      </c>
    </row>
    <row r="379" spans="1:10" outlineLevel="1" x14ac:dyDescent="0.2">
      <c r="A379" t="s">
        <v>569</v>
      </c>
      <c r="B379" t="s">
        <v>20</v>
      </c>
      <c r="C379" t="s">
        <v>51</v>
      </c>
      <c r="D379">
        <v>2016</v>
      </c>
      <c r="E379">
        <v>0.62</v>
      </c>
      <c r="F379">
        <v>244</v>
      </c>
      <c r="G379">
        <v>0.73</v>
      </c>
      <c r="H379">
        <v>108</v>
      </c>
      <c r="I379">
        <v>80</v>
      </c>
      <c r="J379" s="10" t="str">
        <f t="shared" si="5"/>
        <v>Fast</v>
      </c>
    </row>
    <row r="380" spans="1:10" outlineLevel="1" x14ac:dyDescent="0.2">
      <c r="A380" t="s">
        <v>583</v>
      </c>
      <c r="B380" t="s">
        <v>66</v>
      </c>
      <c r="C380" t="s">
        <v>51</v>
      </c>
      <c r="D380">
        <v>2016</v>
      </c>
      <c r="E380">
        <v>0.62</v>
      </c>
      <c r="F380">
        <v>187</v>
      </c>
      <c r="G380">
        <v>0.54</v>
      </c>
      <c r="H380">
        <v>82</v>
      </c>
      <c r="I380">
        <v>54</v>
      </c>
      <c r="J380" s="10" t="str">
        <f t="shared" si="5"/>
        <v>Slow</v>
      </c>
    </row>
    <row r="381" spans="1:10" outlineLevel="1" x14ac:dyDescent="0.2">
      <c r="A381" t="s">
        <v>779</v>
      </c>
      <c r="B381" t="s">
        <v>16</v>
      </c>
      <c r="C381" t="s">
        <v>86</v>
      </c>
      <c r="D381">
        <v>2018</v>
      </c>
      <c r="E381">
        <v>0.62</v>
      </c>
      <c r="F381">
        <v>211</v>
      </c>
      <c r="G381">
        <v>0.71</v>
      </c>
      <c r="H381">
        <v>140</v>
      </c>
      <c r="I381">
        <v>83</v>
      </c>
      <c r="J381" s="10" t="str">
        <f t="shared" si="5"/>
        <v>Fast</v>
      </c>
    </row>
    <row r="382" spans="1:10" outlineLevel="1" x14ac:dyDescent="0.2">
      <c r="A382" t="s">
        <v>823</v>
      </c>
      <c r="B382" t="s">
        <v>824</v>
      </c>
      <c r="C382" t="s">
        <v>437</v>
      </c>
      <c r="D382">
        <v>2019</v>
      </c>
      <c r="E382">
        <v>0.62</v>
      </c>
      <c r="F382">
        <v>184</v>
      </c>
      <c r="G382">
        <v>0.46</v>
      </c>
      <c r="H382">
        <v>127</v>
      </c>
      <c r="I382">
        <v>92</v>
      </c>
      <c r="J382" s="10" t="str">
        <f t="shared" si="5"/>
        <v>Fast</v>
      </c>
    </row>
    <row r="383" spans="1:10" outlineLevel="1" x14ac:dyDescent="0.2">
      <c r="A383" t="s">
        <v>116</v>
      </c>
      <c r="B383" t="s">
        <v>117</v>
      </c>
      <c r="C383" t="s">
        <v>51</v>
      </c>
      <c r="D383">
        <v>2010</v>
      </c>
      <c r="E383">
        <v>0.61</v>
      </c>
      <c r="F383">
        <v>203</v>
      </c>
      <c r="G383">
        <v>0.9</v>
      </c>
      <c r="H383">
        <v>133</v>
      </c>
      <c r="I383">
        <v>64</v>
      </c>
      <c r="J383" s="10" t="str">
        <f t="shared" si="5"/>
        <v>Fast</v>
      </c>
    </row>
    <row r="384" spans="1:10" outlineLevel="1" x14ac:dyDescent="0.2">
      <c r="A384" t="s">
        <v>160</v>
      </c>
      <c r="B384" t="s">
        <v>71</v>
      </c>
      <c r="C384" t="s">
        <v>51</v>
      </c>
      <c r="D384">
        <v>2011</v>
      </c>
      <c r="E384">
        <v>0.61</v>
      </c>
      <c r="F384">
        <v>208</v>
      </c>
      <c r="G384">
        <v>0.61</v>
      </c>
      <c r="H384">
        <v>128</v>
      </c>
      <c r="I384">
        <v>68</v>
      </c>
      <c r="J384" s="10" t="str">
        <f t="shared" si="5"/>
        <v>Fast</v>
      </c>
    </row>
    <row r="385" spans="1:10" outlineLevel="1" x14ac:dyDescent="0.2">
      <c r="A385" t="s">
        <v>183</v>
      </c>
      <c r="B385" t="s">
        <v>95</v>
      </c>
      <c r="C385" t="s">
        <v>51</v>
      </c>
      <c r="D385">
        <v>2011</v>
      </c>
      <c r="E385">
        <v>0.61</v>
      </c>
      <c r="F385">
        <v>265</v>
      </c>
      <c r="G385">
        <v>0.88</v>
      </c>
      <c r="H385">
        <v>131</v>
      </c>
      <c r="I385">
        <v>61</v>
      </c>
      <c r="J385" s="10" t="str">
        <f t="shared" si="5"/>
        <v>Fast</v>
      </c>
    </row>
    <row r="386" spans="1:10" outlineLevel="1" x14ac:dyDescent="0.2">
      <c r="A386" t="s">
        <v>206</v>
      </c>
      <c r="B386" t="s">
        <v>141</v>
      </c>
      <c r="C386" t="s">
        <v>142</v>
      </c>
      <c r="D386">
        <v>2012</v>
      </c>
      <c r="E386">
        <v>0.61</v>
      </c>
      <c r="F386">
        <v>242</v>
      </c>
      <c r="G386">
        <v>0.68</v>
      </c>
      <c r="H386">
        <v>108</v>
      </c>
      <c r="I386">
        <v>76</v>
      </c>
      <c r="J386" s="10" t="str">
        <f t="shared" si="5"/>
        <v>Fast</v>
      </c>
    </row>
    <row r="387" spans="1:10" outlineLevel="1" x14ac:dyDescent="0.2">
      <c r="A387" t="s">
        <v>300</v>
      </c>
      <c r="B387" t="s">
        <v>298</v>
      </c>
      <c r="C387" t="s">
        <v>51</v>
      </c>
      <c r="D387">
        <v>2013</v>
      </c>
      <c r="E387">
        <v>0.61</v>
      </c>
      <c r="F387">
        <v>424</v>
      </c>
      <c r="G387">
        <v>0.68</v>
      </c>
      <c r="H387">
        <v>138</v>
      </c>
      <c r="I387">
        <v>58</v>
      </c>
      <c r="J387" s="10" t="str">
        <f t="shared" ref="J387:J450" si="6">IF(H387&lt;100,"Slow","Fast")</f>
        <v>Fast</v>
      </c>
    </row>
    <row r="388" spans="1:10" outlineLevel="1" x14ac:dyDescent="0.2">
      <c r="A388" t="s">
        <v>323</v>
      </c>
      <c r="B388" t="s">
        <v>324</v>
      </c>
      <c r="C388" t="s">
        <v>51</v>
      </c>
      <c r="D388">
        <v>2013</v>
      </c>
      <c r="E388">
        <v>0.61</v>
      </c>
      <c r="F388">
        <v>231</v>
      </c>
      <c r="G388">
        <v>0.62</v>
      </c>
      <c r="H388">
        <v>80</v>
      </c>
      <c r="I388">
        <v>78</v>
      </c>
      <c r="J388" s="10" t="str">
        <f t="shared" si="6"/>
        <v>Slow</v>
      </c>
    </row>
    <row r="389" spans="1:10" outlineLevel="1" x14ac:dyDescent="0.2">
      <c r="A389" t="s">
        <v>344</v>
      </c>
      <c r="B389" t="s">
        <v>345</v>
      </c>
      <c r="C389" t="s">
        <v>101</v>
      </c>
      <c r="D389">
        <v>2013</v>
      </c>
      <c r="E389">
        <v>0.61</v>
      </c>
      <c r="F389">
        <v>213</v>
      </c>
      <c r="G389">
        <v>0.84</v>
      </c>
      <c r="H389">
        <v>129</v>
      </c>
      <c r="I389">
        <v>78</v>
      </c>
      <c r="J389" s="10" t="str">
        <f t="shared" si="6"/>
        <v>Fast</v>
      </c>
    </row>
    <row r="390" spans="1:10" outlineLevel="1" x14ac:dyDescent="0.2">
      <c r="A390" t="s">
        <v>489</v>
      </c>
      <c r="B390" t="s">
        <v>85</v>
      </c>
      <c r="C390" t="s">
        <v>86</v>
      </c>
      <c r="D390">
        <v>2015</v>
      </c>
      <c r="E390">
        <v>0.61</v>
      </c>
      <c r="F390">
        <v>234</v>
      </c>
      <c r="G390">
        <v>0.38</v>
      </c>
      <c r="H390">
        <v>100</v>
      </c>
      <c r="I390">
        <v>83</v>
      </c>
      <c r="J390" s="10" t="str">
        <f t="shared" si="6"/>
        <v>Fast</v>
      </c>
    </row>
    <row r="391" spans="1:10" outlineLevel="1" x14ac:dyDescent="0.2">
      <c r="A391" t="s">
        <v>570</v>
      </c>
      <c r="B391" t="s">
        <v>571</v>
      </c>
      <c r="C391" t="s">
        <v>437</v>
      </c>
      <c r="D391">
        <v>2016</v>
      </c>
      <c r="E391">
        <v>0.61</v>
      </c>
      <c r="F391">
        <v>218</v>
      </c>
      <c r="G391">
        <v>0.8</v>
      </c>
      <c r="H391">
        <v>120</v>
      </c>
      <c r="I391">
        <v>76</v>
      </c>
      <c r="J391" s="10" t="str">
        <f t="shared" si="6"/>
        <v>Fast</v>
      </c>
    </row>
    <row r="392" spans="1:10" outlineLevel="1" x14ac:dyDescent="0.2">
      <c r="A392" t="s">
        <v>572</v>
      </c>
      <c r="B392" t="s">
        <v>573</v>
      </c>
      <c r="C392" t="s">
        <v>51</v>
      </c>
      <c r="D392">
        <v>2016</v>
      </c>
      <c r="E392">
        <v>0.61</v>
      </c>
      <c r="F392">
        <v>192</v>
      </c>
      <c r="G392">
        <v>0.89</v>
      </c>
      <c r="H392">
        <v>98</v>
      </c>
      <c r="I392">
        <v>64</v>
      </c>
      <c r="J392" s="10" t="str">
        <f t="shared" si="6"/>
        <v>Slow</v>
      </c>
    </row>
    <row r="393" spans="1:10" outlineLevel="1" x14ac:dyDescent="0.2">
      <c r="A393" t="s">
        <v>489</v>
      </c>
      <c r="B393" t="s">
        <v>85</v>
      </c>
      <c r="C393" t="s">
        <v>86</v>
      </c>
      <c r="D393">
        <v>2016</v>
      </c>
      <c r="E393">
        <v>0.61</v>
      </c>
      <c r="F393">
        <v>234</v>
      </c>
      <c r="G393">
        <v>0.38</v>
      </c>
      <c r="H393">
        <v>100</v>
      </c>
      <c r="I393">
        <v>83</v>
      </c>
      <c r="J393" s="10" t="str">
        <f t="shared" si="6"/>
        <v>Fast</v>
      </c>
    </row>
    <row r="394" spans="1:10" outlineLevel="1" x14ac:dyDescent="0.2">
      <c r="A394" t="s">
        <v>610</v>
      </c>
      <c r="B394" t="s">
        <v>95</v>
      </c>
      <c r="C394" t="s">
        <v>51</v>
      </c>
      <c r="D394">
        <v>2016</v>
      </c>
      <c r="E394">
        <v>0.61</v>
      </c>
      <c r="F394">
        <v>182</v>
      </c>
      <c r="G394">
        <v>0.86</v>
      </c>
      <c r="H394">
        <v>125</v>
      </c>
      <c r="I394">
        <v>67</v>
      </c>
      <c r="J394" s="10" t="str">
        <f t="shared" si="6"/>
        <v>Fast</v>
      </c>
    </row>
    <row r="395" spans="1:10" outlineLevel="1" x14ac:dyDescent="0.2">
      <c r="A395" t="s">
        <v>619</v>
      </c>
      <c r="B395" t="s">
        <v>618</v>
      </c>
      <c r="C395" t="s">
        <v>51</v>
      </c>
      <c r="D395">
        <v>2016</v>
      </c>
      <c r="E395">
        <v>0.61</v>
      </c>
      <c r="F395">
        <v>185</v>
      </c>
      <c r="G395">
        <v>0.8</v>
      </c>
      <c r="H395">
        <v>93</v>
      </c>
      <c r="I395">
        <v>73</v>
      </c>
      <c r="J395" s="10" t="str">
        <f t="shared" si="6"/>
        <v>Slow</v>
      </c>
    </row>
    <row r="396" spans="1:10" outlineLevel="1" x14ac:dyDescent="0.2">
      <c r="A396" t="s">
        <v>681</v>
      </c>
      <c r="B396" t="s">
        <v>28</v>
      </c>
      <c r="C396" t="s">
        <v>51</v>
      </c>
      <c r="D396">
        <v>2017</v>
      </c>
      <c r="E396">
        <v>0.61</v>
      </c>
      <c r="F396">
        <v>289</v>
      </c>
      <c r="G396">
        <v>0.67</v>
      </c>
      <c r="H396">
        <v>81</v>
      </c>
      <c r="I396">
        <v>77</v>
      </c>
      <c r="J396" s="10" t="str">
        <f t="shared" si="6"/>
        <v>Slow</v>
      </c>
    </row>
    <row r="397" spans="1:10" outlineLevel="1" x14ac:dyDescent="0.2">
      <c r="A397" t="s">
        <v>706</v>
      </c>
      <c r="B397" t="s">
        <v>621</v>
      </c>
      <c r="C397" t="s">
        <v>101</v>
      </c>
      <c r="D397">
        <v>2017</v>
      </c>
      <c r="E397">
        <v>0.61</v>
      </c>
      <c r="F397">
        <v>222</v>
      </c>
      <c r="G397">
        <v>0.64</v>
      </c>
      <c r="H397">
        <v>106</v>
      </c>
      <c r="I397">
        <v>76</v>
      </c>
      <c r="J397" s="10" t="str">
        <f t="shared" si="6"/>
        <v>Fast</v>
      </c>
    </row>
    <row r="398" spans="1:10" outlineLevel="1" x14ac:dyDescent="0.2">
      <c r="A398" t="s">
        <v>721</v>
      </c>
      <c r="B398" t="s">
        <v>18</v>
      </c>
      <c r="C398" t="s">
        <v>437</v>
      </c>
      <c r="D398">
        <v>2017</v>
      </c>
      <c r="E398">
        <v>0.61</v>
      </c>
      <c r="F398">
        <v>248</v>
      </c>
      <c r="G398">
        <v>0.65</v>
      </c>
      <c r="H398">
        <v>103</v>
      </c>
      <c r="I398">
        <v>78</v>
      </c>
      <c r="J398" s="10" t="str">
        <f t="shared" si="6"/>
        <v>Fast</v>
      </c>
    </row>
    <row r="399" spans="1:10" outlineLevel="1" x14ac:dyDescent="0.2">
      <c r="A399" t="s">
        <v>815</v>
      </c>
      <c r="B399" t="s">
        <v>513</v>
      </c>
      <c r="C399" t="s">
        <v>51</v>
      </c>
      <c r="D399">
        <v>2019</v>
      </c>
      <c r="E399">
        <v>0.61</v>
      </c>
      <c r="F399">
        <v>176</v>
      </c>
      <c r="G399">
        <v>0.66</v>
      </c>
      <c r="H399">
        <v>104</v>
      </c>
      <c r="I399">
        <v>75</v>
      </c>
      <c r="J399" s="10" t="str">
        <f t="shared" si="6"/>
        <v>Fast</v>
      </c>
    </row>
    <row r="400" spans="1:10" outlineLevel="1" x14ac:dyDescent="0.2">
      <c r="A400" t="s">
        <v>130</v>
      </c>
      <c r="B400" t="s">
        <v>128</v>
      </c>
      <c r="C400" t="s">
        <v>51</v>
      </c>
      <c r="D400">
        <v>2010</v>
      </c>
      <c r="E400">
        <v>0.6</v>
      </c>
      <c r="F400">
        <v>258</v>
      </c>
      <c r="G400">
        <v>0.52</v>
      </c>
      <c r="H400">
        <v>92</v>
      </c>
      <c r="I400">
        <v>62</v>
      </c>
      <c r="J400" s="10" t="str">
        <f t="shared" si="6"/>
        <v>Slow</v>
      </c>
    </row>
    <row r="401" spans="1:10" outlineLevel="1" x14ac:dyDescent="0.2">
      <c r="A401" t="s">
        <v>215</v>
      </c>
      <c r="B401" t="s">
        <v>71</v>
      </c>
      <c r="C401" t="s">
        <v>51</v>
      </c>
      <c r="D401">
        <v>2012</v>
      </c>
      <c r="E401">
        <v>0.6</v>
      </c>
      <c r="F401">
        <v>245</v>
      </c>
      <c r="G401">
        <v>0.79</v>
      </c>
      <c r="H401">
        <v>126</v>
      </c>
      <c r="I401">
        <v>80</v>
      </c>
      <c r="J401" s="10" t="str">
        <f t="shared" si="6"/>
        <v>Fast</v>
      </c>
    </row>
    <row r="402" spans="1:10" outlineLevel="1" x14ac:dyDescent="0.2">
      <c r="A402" t="s">
        <v>225</v>
      </c>
      <c r="B402" t="s">
        <v>85</v>
      </c>
      <c r="C402" t="s">
        <v>86</v>
      </c>
      <c r="D402">
        <v>2012</v>
      </c>
      <c r="E402">
        <v>0.6</v>
      </c>
      <c r="F402">
        <v>228</v>
      </c>
      <c r="G402">
        <v>0.84</v>
      </c>
      <c r="H402">
        <v>128</v>
      </c>
      <c r="I402">
        <v>72</v>
      </c>
      <c r="J402" s="10" t="str">
        <f t="shared" si="6"/>
        <v>Fast</v>
      </c>
    </row>
    <row r="403" spans="1:10" outlineLevel="1" x14ac:dyDescent="0.2">
      <c r="A403" t="s">
        <v>241</v>
      </c>
      <c r="B403" t="s">
        <v>195</v>
      </c>
      <c r="C403" t="s">
        <v>51</v>
      </c>
      <c r="D403">
        <v>2012</v>
      </c>
      <c r="E403">
        <v>0.6</v>
      </c>
      <c r="F403">
        <v>256</v>
      </c>
      <c r="G403">
        <v>0.92</v>
      </c>
      <c r="H403">
        <v>114</v>
      </c>
      <c r="I403">
        <v>0</v>
      </c>
      <c r="J403" s="10" t="str">
        <f t="shared" si="6"/>
        <v>Fast</v>
      </c>
    </row>
    <row r="404" spans="1:10" outlineLevel="1" x14ac:dyDescent="0.2">
      <c r="A404" t="s">
        <v>304</v>
      </c>
      <c r="B404" t="s">
        <v>231</v>
      </c>
      <c r="C404" t="s">
        <v>51</v>
      </c>
      <c r="D404">
        <v>2013</v>
      </c>
      <c r="E404">
        <v>0.6</v>
      </c>
      <c r="F404">
        <v>259</v>
      </c>
      <c r="G404">
        <v>0.79</v>
      </c>
      <c r="H404">
        <v>128</v>
      </c>
      <c r="I404">
        <v>45</v>
      </c>
      <c r="J404" s="10" t="str">
        <f t="shared" si="6"/>
        <v>Fast</v>
      </c>
    </row>
    <row r="405" spans="1:10" outlineLevel="1" x14ac:dyDescent="0.2">
      <c r="A405" t="s">
        <v>329</v>
      </c>
      <c r="B405" t="s">
        <v>236</v>
      </c>
      <c r="C405" t="s">
        <v>237</v>
      </c>
      <c r="D405">
        <v>2013</v>
      </c>
      <c r="E405">
        <v>0.6</v>
      </c>
      <c r="F405">
        <v>245</v>
      </c>
      <c r="G405">
        <v>0.66</v>
      </c>
      <c r="H405">
        <v>121</v>
      </c>
      <c r="I405">
        <v>81</v>
      </c>
      <c r="J405" s="10" t="str">
        <f t="shared" si="6"/>
        <v>Fast</v>
      </c>
    </row>
    <row r="406" spans="1:10" outlineLevel="1" x14ac:dyDescent="0.2">
      <c r="A406" t="s">
        <v>378</v>
      </c>
      <c r="B406" t="s">
        <v>26</v>
      </c>
      <c r="C406" t="s">
        <v>51</v>
      </c>
      <c r="D406">
        <v>2014</v>
      </c>
      <c r="E406">
        <v>0.6</v>
      </c>
      <c r="F406">
        <v>223</v>
      </c>
      <c r="G406">
        <v>0.86</v>
      </c>
      <c r="H406">
        <v>128</v>
      </c>
      <c r="I406">
        <v>80</v>
      </c>
      <c r="J406" s="10" t="str">
        <f t="shared" si="6"/>
        <v>Fast</v>
      </c>
    </row>
    <row r="407" spans="1:10" outlineLevel="1" x14ac:dyDescent="0.2">
      <c r="A407" t="s">
        <v>427</v>
      </c>
      <c r="B407" t="s">
        <v>197</v>
      </c>
      <c r="C407" t="s">
        <v>51</v>
      </c>
      <c r="D407">
        <v>2014</v>
      </c>
      <c r="E407">
        <v>0.6</v>
      </c>
      <c r="F407">
        <v>222</v>
      </c>
      <c r="G407">
        <v>0.94</v>
      </c>
      <c r="H407">
        <v>125</v>
      </c>
      <c r="I407">
        <v>56</v>
      </c>
      <c r="J407" s="10" t="str">
        <f t="shared" si="6"/>
        <v>Fast</v>
      </c>
    </row>
    <row r="408" spans="1:10" outlineLevel="1" x14ac:dyDescent="0.2">
      <c r="A408" t="s">
        <v>438</v>
      </c>
      <c r="B408" t="s">
        <v>354</v>
      </c>
      <c r="C408" t="s">
        <v>355</v>
      </c>
      <c r="D408">
        <v>2014</v>
      </c>
      <c r="E408">
        <v>0.6</v>
      </c>
      <c r="F408">
        <v>217</v>
      </c>
      <c r="G408">
        <v>0.74</v>
      </c>
      <c r="H408">
        <v>128</v>
      </c>
      <c r="I408">
        <v>64</v>
      </c>
      <c r="J408" s="10" t="str">
        <f t="shared" si="6"/>
        <v>Fast</v>
      </c>
    </row>
    <row r="409" spans="1:10" outlineLevel="1" x14ac:dyDescent="0.2">
      <c r="A409" t="s">
        <v>455</v>
      </c>
      <c r="B409" t="s">
        <v>71</v>
      </c>
      <c r="C409" t="s">
        <v>51</v>
      </c>
      <c r="D409">
        <v>2015</v>
      </c>
      <c r="E409">
        <v>0.6</v>
      </c>
      <c r="F409">
        <v>193</v>
      </c>
      <c r="G409">
        <v>0.73</v>
      </c>
      <c r="H409">
        <v>86</v>
      </c>
      <c r="I409">
        <v>72</v>
      </c>
      <c r="J409" s="10" t="str">
        <f t="shared" si="6"/>
        <v>Slow</v>
      </c>
    </row>
    <row r="410" spans="1:10" outlineLevel="1" x14ac:dyDescent="0.2">
      <c r="A410" t="s">
        <v>456</v>
      </c>
      <c r="B410" t="s">
        <v>71</v>
      </c>
      <c r="C410" t="s">
        <v>51</v>
      </c>
      <c r="D410">
        <v>2015</v>
      </c>
      <c r="E410">
        <v>0.6</v>
      </c>
      <c r="F410">
        <v>193</v>
      </c>
      <c r="G410">
        <v>0.87</v>
      </c>
      <c r="H410">
        <v>108</v>
      </c>
      <c r="I410">
        <v>54</v>
      </c>
      <c r="J410" s="10" t="str">
        <f t="shared" si="6"/>
        <v>Fast</v>
      </c>
    </row>
    <row r="411" spans="1:10" outlineLevel="1" x14ac:dyDescent="0.2">
      <c r="A411" t="s">
        <v>574</v>
      </c>
      <c r="B411" t="s">
        <v>371</v>
      </c>
      <c r="C411" t="s">
        <v>136</v>
      </c>
      <c r="D411">
        <v>2016</v>
      </c>
      <c r="E411">
        <v>0.6</v>
      </c>
      <c r="F411">
        <v>208</v>
      </c>
      <c r="G411">
        <v>0.78</v>
      </c>
      <c r="H411">
        <v>122</v>
      </c>
      <c r="I411">
        <v>52</v>
      </c>
      <c r="J411" s="10" t="str">
        <f t="shared" si="6"/>
        <v>Fast</v>
      </c>
    </row>
    <row r="412" spans="1:10" outlineLevel="1" x14ac:dyDescent="0.2">
      <c r="A412" t="s">
        <v>644</v>
      </c>
      <c r="B412" t="s">
        <v>645</v>
      </c>
      <c r="C412" t="s">
        <v>51</v>
      </c>
      <c r="D412">
        <v>2016</v>
      </c>
      <c r="E412">
        <v>0.6</v>
      </c>
      <c r="F412">
        <v>228</v>
      </c>
      <c r="G412">
        <v>0.88</v>
      </c>
      <c r="H412">
        <v>110</v>
      </c>
      <c r="I412">
        <v>63</v>
      </c>
      <c r="J412" s="10" t="str">
        <f t="shared" si="6"/>
        <v>Fast</v>
      </c>
    </row>
    <row r="413" spans="1:10" outlineLevel="1" x14ac:dyDescent="0.2">
      <c r="A413" t="s">
        <v>658</v>
      </c>
      <c r="B413" t="s">
        <v>141</v>
      </c>
      <c r="C413" t="s">
        <v>142</v>
      </c>
      <c r="D413">
        <v>2017</v>
      </c>
      <c r="E413">
        <v>0.6</v>
      </c>
      <c r="F413">
        <v>240</v>
      </c>
      <c r="G413">
        <v>0.84</v>
      </c>
      <c r="H413">
        <v>95</v>
      </c>
      <c r="I413">
        <v>49</v>
      </c>
      <c r="J413" s="10" t="str">
        <f t="shared" si="6"/>
        <v>Slow</v>
      </c>
    </row>
    <row r="414" spans="1:10" outlineLevel="1" x14ac:dyDescent="0.2">
      <c r="A414" t="s">
        <v>816</v>
      </c>
      <c r="B414" t="s">
        <v>513</v>
      </c>
      <c r="C414" t="s">
        <v>51</v>
      </c>
      <c r="D414">
        <v>2019</v>
      </c>
      <c r="E414">
        <v>0.6</v>
      </c>
      <c r="F414">
        <v>217</v>
      </c>
      <c r="G414">
        <v>0.79</v>
      </c>
      <c r="H414">
        <v>114</v>
      </c>
      <c r="I414">
        <v>69</v>
      </c>
      <c r="J414" s="10" t="str">
        <f t="shared" si="6"/>
        <v>Fast</v>
      </c>
    </row>
    <row r="415" spans="1:10" outlineLevel="1" x14ac:dyDescent="0.2">
      <c r="A415" t="s">
        <v>166</v>
      </c>
      <c r="B415" t="s">
        <v>165</v>
      </c>
      <c r="C415" t="s">
        <v>51</v>
      </c>
      <c r="D415">
        <v>2011</v>
      </c>
      <c r="E415">
        <v>0.59</v>
      </c>
      <c r="F415">
        <v>200</v>
      </c>
      <c r="G415">
        <v>0.75</v>
      </c>
      <c r="H415">
        <v>84</v>
      </c>
      <c r="I415">
        <v>59</v>
      </c>
      <c r="J415" s="10" t="str">
        <f t="shared" si="6"/>
        <v>Slow</v>
      </c>
    </row>
    <row r="416" spans="1:10" outlineLevel="1" x14ac:dyDescent="0.2">
      <c r="A416" t="s">
        <v>179</v>
      </c>
      <c r="B416" t="s">
        <v>95</v>
      </c>
      <c r="C416" t="s">
        <v>51</v>
      </c>
      <c r="D416">
        <v>2011</v>
      </c>
      <c r="E416">
        <v>0.59</v>
      </c>
      <c r="F416">
        <v>260</v>
      </c>
      <c r="G416">
        <v>0.83</v>
      </c>
      <c r="H416">
        <v>124</v>
      </c>
      <c r="I416">
        <v>73</v>
      </c>
      <c r="J416" s="10" t="str">
        <f t="shared" si="6"/>
        <v>Fast</v>
      </c>
    </row>
    <row r="417" spans="1:10" outlineLevel="1" x14ac:dyDescent="0.2">
      <c r="A417" t="s">
        <v>211</v>
      </c>
      <c r="B417" t="s">
        <v>156</v>
      </c>
      <c r="C417" t="s">
        <v>51</v>
      </c>
      <c r="D417">
        <v>2012</v>
      </c>
      <c r="E417">
        <v>0.59</v>
      </c>
      <c r="F417">
        <v>228</v>
      </c>
      <c r="G417">
        <v>0.84</v>
      </c>
      <c r="H417">
        <v>130</v>
      </c>
      <c r="I417">
        <v>65</v>
      </c>
      <c r="J417" s="10" t="str">
        <f t="shared" si="6"/>
        <v>Fast</v>
      </c>
    </row>
    <row r="418" spans="1:10" outlineLevel="1" x14ac:dyDescent="0.2">
      <c r="A418" t="s">
        <v>301</v>
      </c>
      <c r="B418" t="s">
        <v>298</v>
      </c>
      <c r="C418" t="s">
        <v>51</v>
      </c>
      <c r="D418">
        <v>2013</v>
      </c>
      <c r="E418">
        <v>0.59</v>
      </c>
      <c r="F418">
        <v>353</v>
      </c>
      <c r="G418">
        <v>0.66</v>
      </c>
      <c r="H418">
        <v>107</v>
      </c>
      <c r="I418">
        <v>54</v>
      </c>
      <c r="J418" s="10" t="str">
        <f t="shared" si="6"/>
        <v>Fast</v>
      </c>
    </row>
    <row r="419" spans="1:10" outlineLevel="1" x14ac:dyDescent="0.2">
      <c r="A419" t="s">
        <v>369</v>
      </c>
      <c r="B419" t="s">
        <v>147</v>
      </c>
      <c r="C419" t="s">
        <v>51</v>
      </c>
      <c r="D419">
        <v>2014</v>
      </c>
      <c r="E419">
        <v>0.59</v>
      </c>
      <c r="F419">
        <v>323</v>
      </c>
      <c r="G419">
        <v>0.62</v>
      </c>
      <c r="H419">
        <v>140</v>
      </c>
      <c r="I419">
        <v>52</v>
      </c>
      <c r="J419" s="10" t="str">
        <f t="shared" si="6"/>
        <v>Fast</v>
      </c>
    </row>
    <row r="420" spans="1:10" outlineLevel="1" x14ac:dyDescent="0.2">
      <c r="A420" t="s">
        <v>400</v>
      </c>
      <c r="B420" t="s">
        <v>298</v>
      </c>
      <c r="C420" t="s">
        <v>51</v>
      </c>
      <c r="D420">
        <v>2014</v>
      </c>
      <c r="E420">
        <v>0.59</v>
      </c>
      <c r="F420">
        <v>266</v>
      </c>
      <c r="G420">
        <v>0.73</v>
      </c>
      <c r="H420">
        <v>86</v>
      </c>
      <c r="I420">
        <v>0</v>
      </c>
      <c r="J420" s="10" t="str">
        <f t="shared" si="6"/>
        <v>Slow</v>
      </c>
    </row>
    <row r="421" spans="1:10" outlineLevel="1" x14ac:dyDescent="0.2">
      <c r="A421" t="s">
        <v>492</v>
      </c>
      <c r="B421" t="s">
        <v>85</v>
      </c>
      <c r="C421" t="s">
        <v>86</v>
      </c>
      <c r="D421">
        <v>2015</v>
      </c>
      <c r="E421">
        <v>0.59</v>
      </c>
      <c r="F421">
        <v>208</v>
      </c>
      <c r="G421">
        <v>0.8</v>
      </c>
      <c r="H421">
        <v>95</v>
      </c>
      <c r="I421">
        <v>72</v>
      </c>
      <c r="J421" s="10" t="str">
        <f t="shared" si="6"/>
        <v>Slow</v>
      </c>
    </row>
    <row r="422" spans="1:10" outlineLevel="1" x14ac:dyDescent="0.2">
      <c r="A422" t="s">
        <v>532</v>
      </c>
      <c r="B422" t="s">
        <v>108</v>
      </c>
      <c r="C422" t="s">
        <v>51</v>
      </c>
      <c r="D422">
        <v>2015</v>
      </c>
      <c r="E422">
        <v>0.59</v>
      </c>
      <c r="F422">
        <v>235</v>
      </c>
      <c r="G422">
        <v>0.85</v>
      </c>
      <c r="H422">
        <v>120</v>
      </c>
      <c r="I422">
        <v>67</v>
      </c>
      <c r="J422" s="10" t="str">
        <f t="shared" si="6"/>
        <v>Fast</v>
      </c>
    </row>
    <row r="423" spans="1:10" outlineLevel="1" x14ac:dyDescent="0.2">
      <c r="A423" t="s">
        <v>563</v>
      </c>
      <c r="B423" t="s">
        <v>141</v>
      </c>
      <c r="C423" t="s">
        <v>142</v>
      </c>
      <c r="D423">
        <v>2016</v>
      </c>
      <c r="E423">
        <v>0.59</v>
      </c>
      <c r="F423">
        <v>272</v>
      </c>
      <c r="G423">
        <v>0.28000000000000003</v>
      </c>
      <c r="H423">
        <v>142</v>
      </c>
      <c r="I423">
        <v>71</v>
      </c>
      <c r="J423" s="10" t="str">
        <f t="shared" si="6"/>
        <v>Fast</v>
      </c>
    </row>
    <row r="424" spans="1:10" outlineLevel="1" x14ac:dyDescent="0.2">
      <c r="A424" t="s">
        <v>585</v>
      </c>
      <c r="B424" t="s">
        <v>273</v>
      </c>
      <c r="C424" t="s">
        <v>51</v>
      </c>
      <c r="D424">
        <v>2016</v>
      </c>
      <c r="E424">
        <v>0.59</v>
      </c>
      <c r="F424">
        <v>206</v>
      </c>
      <c r="G424">
        <v>0.75</v>
      </c>
      <c r="H424">
        <v>130</v>
      </c>
      <c r="I424">
        <v>75</v>
      </c>
      <c r="J424" s="10" t="str">
        <f t="shared" si="6"/>
        <v>Fast</v>
      </c>
    </row>
    <row r="425" spans="1:10" outlineLevel="1" x14ac:dyDescent="0.2">
      <c r="A425" t="s">
        <v>492</v>
      </c>
      <c r="B425" t="s">
        <v>85</v>
      </c>
      <c r="C425" t="s">
        <v>86</v>
      </c>
      <c r="D425">
        <v>2016</v>
      </c>
      <c r="E425">
        <v>0.59</v>
      </c>
      <c r="F425">
        <v>208</v>
      </c>
      <c r="G425">
        <v>0.8</v>
      </c>
      <c r="H425">
        <v>95</v>
      </c>
      <c r="I425">
        <v>72</v>
      </c>
      <c r="J425" s="10" t="str">
        <f t="shared" si="6"/>
        <v>Slow</v>
      </c>
    </row>
    <row r="426" spans="1:10" outlineLevel="1" x14ac:dyDescent="0.2">
      <c r="A426" t="s">
        <v>643</v>
      </c>
      <c r="B426" t="s">
        <v>433</v>
      </c>
      <c r="C426" t="s">
        <v>434</v>
      </c>
      <c r="D426">
        <v>2016</v>
      </c>
      <c r="E426">
        <v>0.59</v>
      </c>
      <c r="F426">
        <v>225</v>
      </c>
      <c r="G426">
        <v>0.8</v>
      </c>
      <c r="H426">
        <v>90</v>
      </c>
      <c r="I426">
        <v>64</v>
      </c>
      <c r="J426" s="10" t="str">
        <f t="shared" si="6"/>
        <v>Slow</v>
      </c>
    </row>
    <row r="427" spans="1:10" outlineLevel="1" x14ac:dyDescent="0.2">
      <c r="A427" t="s">
        <v>654</v>
      </c>
      <c r="B427" t="s">
        <v>655</v>
      </c>
      <c r="C427" t="s">
        <v>51</v>
      </c>
      <c r="D427">
        <v>2016</v>
      </c>
      <c r="E427">
        <v>0.59</v>
      </c>
      <c r="F427">
        <v>204</v>
      </c>
      <c r="G427">
        <v>0.7</v>
      </c>
      <c r="H427">
        <v>125</v>
      </c>
      <c r="I427">
        <v>66</v>
      </c>
      <c r="J427" s="10" t="str">
        <f t="shared" si="6"/>
        <v>Fast</v>
      </c>
    </row>
    <row r="428" spans="1:10" outlineLevel="1" x14ac:dyDescent="0.2">
      <c r="A428" t="s">
        <v>563</v>
      </c>
      <c r="B428" t="s">
        <v>141</v>
      </c>
      <c r="C428" t="s">
        <v>142</v>
      </c>
      <c r="D428">
        <v>2017</v>
      </c>
      <c r="E428">
        <v>0.59</v>
      </c>
      <c r="F428">
        <v>272</v>
      </c>
      <c r="G428">
        <v>0.28000000000000003</v>
      </c>
      <c r="H428">
        <v>142</v>
      </c>
      <c r="I428">
        <v>71</v>
      </c>
      <c r="J428" s="10" t="str">
        <f t="shared" si="6"/>
        <v>Fast</v>
      </c>
    </row>
    <row r="429" spans="1:10" outlineLevel="1" x14ac:dyDescent="0.2">
      <c r="A429" t="s">
        <v>747</v>
      </c>
      <c r="B429" t="s">
        <v>6</v>
      </c>
      <c r="C429" t="s">
        <v>63</v>
      </c>
      <c r="D429">
        <v>2018</v>
      </c>
      <c r="E429">
        <v>0.59</v>
      </c>
      <c r="F429">
        <v>260</v>
      </c>
      <c r="G429">
        <v>0.3</v>
      </c>
      <c r="H429">
        <v>95</v>
      </c>
      <c r="I429">
        <v>78</v>
      </c>
      <c r="J429" s="10" t="str">
        <f t="shared" si="6"/>
        <v>Slow</v>
      </c>
    </row>
    <row r="430" spans="1:10" outlineLevel="1" x14ac:dyDescent="0.2">
      <c r="A430" t="s">
        <v>750</v>
      </c>
      <c r="B430" t="s">
        <v>595</v>
      </c>
      <c r="C430" t="s">
        <v>559</v>
      </c>
      <c r="D430">
        <v>2018</v>
      </c>
      <c r="E430">
        <v>0.59</v>
      </c>
      <c r="F430">
        <v>269</v>
      </c>
      <c r="G430">
        <v>0.73</v>
      </c>
      <c r="H430">
        <v>88</v>
      </c>
      <c r="I430">
        <v>78</v>
      </c>
      <c r="J430" s="10" t="str">
        <f t="shared" si="6"/>
        <v>Slow</v>
      </c>
    </row>
    <row r="431" spans="1:10" outlineLevel="1" x14ac:dyDescent="0.2">
      <c r="A431" t="s">
        <v>782</v>
      </c>
      <c r="B431" t="s">
        <v>783</v>
      </c>
      <c r="C431" t="s">
        <v>696</v>
      </c>
      <c r="D431">
        <v>2018</v>
      </c>
      <c r="E431">
        <v>0.59</v>
      </c>
      <c r="F431">
        <v>238</v>
      </c>
      <c r="G431">
        <v>0.67</v>
      </c>
      <c r="H431">
        <v>118</v>
      </c>
      <c r="I431">
        <v>82</v>
      </c>
      <c r="J431" s="10" t="str">
        <f t="shared" si="6"/>
        <v>Fast</v>
      </c>
    </row>
    <row r="432" spans="1:10" outlineLevel="1" x14ac:dyDescent="0.2">
      <c r="A432" t="s">
        <v>827</v>
      </c>
      <c r="B432" t="s">
        <v>18</v>
      </c>
      <c r="C432" t="s">
        <v>437</v>
      </c>
      <c r="D432">
        <v>2019</v>
      </c>
      <c r="E432">
        <v>0.59</v>
      </c>
      <c r="F432">
        <v>218</v>
      </c>
      <c r="G432">
        <v>0.7</v>
      </c>
      <c r="H432">
        <v>104</v>
      </c>
      <c r="I432">
        <v>81</v>
      </c>
      <c r="J432" s="10" t="str">
        <f t="shared" si="6"/>
        <v>Fast</v>
      </c>
    </row>
    <row r="433" spans="1:10" outlineLevel="1" x14ac:dyDescent="0.2">
      <c r="A433" t="s">
        <v>144</v>
      </c>
      <c r="B433" t="s">
        <v>145</v>
      </c>
      <c r="C433" t="s">
        <v>86</v>
      </c>
      <c r="D433">
        <v>2011</v>
      </c>
      <c r="E433">
        <v>0.57999999999999996</v>
      </c>
      <c r="F433">
        <v>221</v>
      </c>
      <c r="G433">
        <v>0.93</v>
      </c>
      <c r="H433">
        <v>150</v>
      </c>
      <c r="I433">
        <v>74</v>
      </c>
      <c r="J433" s="10" t="str">
        <f t="shared" si="6"/>
        <v>Fast</v>
      </c>
    </row>
    <row r="434" spans="1:10" outlineLevel="1" x14ac:dyDescent="0.2">
      <c r="A434" t="s">
        <v>180</v>
      </c>
      <c r="B434" t="s">
        <v>95</v>
      </c>
      <c r="C434" t="s">
        <v>51</v>
      </c>
      <c r="D434">
        <v>2011</v>
      </c>
      <c r="E434">
        <v>0.57999999999999996</v>
      </c>
      <c r="F434">
        <v>321</v>
      </c>
      <c r="G434">
        <v>0.77</v>
      </c>
      <c r="H434">
        <v>128</v>
      </c>
      <c r="I434">
        <v>67</v>
      </c>
      <c r="J434" s="10" t="str">
        <f t="shared" si="6"/>
        <v>Fast</v>
      </c>
    </row>
    <row r="435" spans="1:10" outlineLevel="1" x14ac:dyDescent="0.2">
      <c r="A435" t="s">
        <v>200</v>
      </c>
      <c r="B435" t="s">
        <v>111</v>
      </c>
      <c r="C435" t="s">
        <v>112</v>
      </c>
      <c r="D435">
        <v>2011</v>
      </c>
      <c r="E435">
        <v>0.57999999999999996</v>
      </c>
      <c r="F435">
        <v>262</v>
      </c>
      <c r="G435">
        <v>0.91</v>
      </c>
      <c r="H435">
        <v>80</v>
      </c>
      <c r="I435">
        <v>58</v>
      </c>
      <c r="J435" s="10" t="str">
        <f t="shared" si="6"/>
        <v>Slow</v>
      </c>
    </row>
    <row r="436" spans="1:10" outlineLevel="1" x14ac:dyDescent="0.2">
      <c r="A436" t="s">
        <v>208</v>
      </c>
      <c r="B436" t="s">
        <v>24</v>
      </c>
      <c r="C436" t="s">
        <v>63</v>
      </c>
      <c r="D436">
        <v>2012</v>
      </c>
      <c r="E436">
        <v>0.57999999999999996</v>
      </c>
      <c r="F436">
        <v>258</v>
      </c>
      <c r="G436">
        <v>0.84</v>
      </c>
      <c r="H436">
        <v>150</v>
      </c>
      <c r="I436">
        <v>38</v>
      </c>
      <c r="J436" s="10" t="str">
        <f t="shared" si="6"/>
        <v>Fast</v>
      </c>
    </row>
    <row r="437" spans="1:10" outlineLevel="1" x14ac:dyDescent="0.2">
      <c r="A437" t="s">
        <v>274</v>
      </c>
      <c r="B437" t="s">
        <v>273</v>
      </c>
      <c r="C437" t="s">
        <v>51</v>
      </c>
      <c r="D437">
        <v>2013</v>
      </c>
      <c r="E437">
        <v>0.57999999999999996</v>
      </c>
      <c r="F437">
        <v>196</v>
      </c>
      <c r="G437">
        <v>0.86</v>
      </c>
      <c r="H437">
        <v>87</v>
      </c>
      <c r="I437">
        <v>60</v>
      </c>
      <c r="J437" s="10" t="str">
        <f t="shared" si="6"/>
        <v>Slow</v>
      </c>
    </row>
    <row r="438" spans="1:10" outlineLevel="1" x14ac:dyDescent="0.2">
      <c r="A438" t="s">
        <v>299</v>
      </c>
      <c r="B438" t="s">
        <v>298</v>
      </c>
      <c r="C438" t="s">
        <v>51</v>
      </c>
      <c r="D438">
        <v>2013</v>
      </c>
      <c r="E438">
        <v>0.57999999999999996</v>
      </c>
      <c r="F438">
        <v>277</v>
      </c>
      <c r="G438">
        <v>0.6</v>
      </c>
      <c r="H438">
        <v>77</v>
      </c>
      <c r="I438">
        <v>60</v>
      </c>
      <c r="J438" s="10" t="str">
        <f t="shared" si="6"/>
        <v>Slow</v>
      </c>
    </row>
    <row r="439" spans="1:10" outlineLevel="1" x14ac:dyDescent="0.2">
      <c r="A439" t="s">
        <v>418</v>
      </c>
      <c r="B439" t="s">
        <v>324</v>
      </c>
      <c r="C439" t="s">
        <v>51</v>
      </c>
      <c r="D439">
        <v>2014</v>
      </c>
      <c r="E439">
        <v>0.57999999999999996</v>
      </c>
      <c r="F439">
        <v>279</v>
      </c>
      <c r="G439">
        <v>0.66</v>
      </c>
      <c r="H439">
        <v>120</v>
      </c>
      <c r="I439">
        <v>72</v>
      </c>
      <c r="J439" s="10" t="str">
        <f t="shared" si="6"/>
        <v>Fast</v>
      </c>
    </row>
    <row r="440" spans="1:10" outlineLevel="1" x14ac:dyDescent="0.2">
      <c r="A440" t="s">
        <v>540</v>
      </c>
      <c r="B440" t="s">
        <v>111</v>
      </c>
      <c r="C440" t="s">
        <v>112</v>
      </c>
      <c r="D440">
        <v>2015</v>
      </c>
      <c r="E440">
        <v>0.57999999999999996</v>
      </c>
      <c r="F440">
        <v>188</v>
      </c>
      <c r="G440">
        <v>0.27</v>
      </c>
      <c r="H440">
        <v>206</v>
      </c>
      <c r="I440">
        <v>80</v>
      </c>
      <c r="J440" s="10" t="str">
        <f t="shared" si="6"/>
        <v>Fast</v>
      </c>
    </row>
    <row r="441" spans="1:10" outlineLevel="1" x14ac:dyDescent="0.2">
      <c r="A441" t="s">
        <v>554</v>
      </c>
      <c r="B441" t="s">
        <v>555</v>
      </c>
      <c r="C441" t="s">
        <v>441</v>
      </c>
      <c r="D441">
        <v>2015</v>
      </c>
      <c r="E441">
        <v>0.57999999999999996</v>
      </c>
      <c r="F441">
        <v>242</v>
      </c>
      <c r="G441">
        <v>0.56000000000000005</v>
      </c>
      <c r="H441">
        <v>113</v>
      </c>
      <c r="I441">
        <v>84</v>
      </c>
      <c r="J441" s="10" t="str">
        <f t="shared" si="6"/>
        <v>Fast</v>
      </c>
    </row>
    <row r="442" spans="1:10" outlineLevel="1" x14ac:dyDescent="0.2">
      <c r="A442" t="s">
        <v>560</v>
      </c>
      <c r="B442" t="s">
        <v>561</v>
      </c>
      <c r="C442" t="s">
        <v>51</v>
      </c>
      <c r="D442">
        <v>2015</v>
      </c>
      <c r="E442">
        <v>0.57999999999999996</v>
      </c>
      <c r="F442">
        <v>213</v>
      </c>
      <c r="G442">
        <v>0.73</v>
      </c>
      <c r="H442">
        <v>146</v>
      </c>
      <c r="I442">
        <v>77</v>
      </c>
      <c r="J442" s="10" t="str">
        <f t="shared" si="6"/>
        <v>Fast</v>
      </c>
    </row>
    <row r="443" spans="1:10" outlineLevel="1" x14ac:dyDescent="0.2">
      <c r="A443" t="s">
        <v>562</v>
      </c>
      <c r="B443" t="s">
        <v>354</v>
      </c>
      <c r="C443" t="s">
        <v>355</v>
      </c>
      <c r="D443">
        <v>2015</v>
      </c>
      <c r="E443">
        <v>0.57999999999999996</v>
      </c>
      <c r="F443">
        <v>240</v>
      </c>
      <c r="G443">
        <v>0.85</v>
      </c>
      <c r="H443">
        <v>130</v>
      </c>
      <c r="I443">
        <v>68</v>
      </c>
      <c r="J443" s="10" t="str">
        <f t="shared" si="6"/>
        <v>Fast</v>
      </c>
    </row>
    <row r="444" spans="1:10" outlineLevel="1" x14ac:dyDescent="0.2">
      <c r="A444" t="s">
        <v>591</v>
      </c>
      <c r="B444" t="s">
        <v>280</v>
      </c>
      <c r="C444" t="s">
        <v>51</v>
      </c>
      <c r="D444">
        <v>2016</v>
      </c>
      <c r="E444">
        <v>0.57999999999999996</v>
      </c>
      <c r="F444">
        <v>238</v>
      </c>
      <c r="G444">
        <v>0.64</v>
      </c>
      <c r="H444">
        <v>106</v>
      </c>
      <c r="I444">
        <v>57</v>
      </c>
      <c r="J444" s="10" t="str">
        <f t="shared" si="6"/>
        <v>Fast</v>
      </c>
    </row>
    <row r="445" spans="1:10" outlineLevel="1" x14ac:dyDescent="0.2">
      <c r="A445" t="s">
        <v>554</v>
      </c>
      <c r="B445" t="s">
        <v>555</v>
      </c>
      <c r="C445" t="s">
        <v>441</v>
      </c>
      <c r="D445">
        <v>2016</v>
      </c>
      <c r="E445">
        <v>0.57999999999999996</v>
      </c>
      <c r="F445">
        <v>242</v>
      </c>
      <c r="G445">
        <v>0.56000000000000005</v>
      </c>
      <c r="H445">
        <v>113</v>
      </c>
      <c r="I445">
        <v>84</v>
      </c>
      <c r="J445" s="10" t="str">
        <f t="shared" si="6"/>
        <v>Fast</v>
      </c>
    </row>
    <row r="446" spans="1:10" outlineLevel="1" x14ac:dyDescent="0.2">
      <c r="A446" t="s">
        <v>693</v>
      </c>
      <c r="B446" t="s">
        <v>90</v>
      </c>
      <c r="C446" t="s">
        <v>51</v>
      </c>
      <c r="D446">
        <v>2017</v>
      </c>
      <c r="E446">
        <v>0.57999999999999996</v>
      </c>
      <c r="F446">
        <v>230</v>
      </c>
      <c r="G446">
        <v>0.39</v>
      </c>
      <c r="H446">
        <v>73</v>
      </c>
      <c r="I446">
        <v>77</v>
      </c>
      <c r="J446" s="10" t="str">
        <f t="shared" si="6"/>
        <v>Slow</v>
      </c>
    </row>
    <row r="447" spans="1:10" outlineLevel="1" x14ac:dyDescent="0.2">
      <c r="A447" t="s">
        <v>731</v>
      </c>
      <c r="B447" t="s">
        <v>573</v>
      </c>
      <c r="C447" t="s">
        <v>51</v>
      </c>
      <c r="D447">
        <v>2018</v>
      </c>
      <c r="E447">
        <v>0.57999999999999996</v>
      </c>
      <c r="F447">
        <v>213</v>
      </c>
      <c r="G447">
        <v>0.48</v>
      </c>
      <c r="H447">
        <v>77</v>
      </c>
      <c r="I447">
        <v>57</v>
      </c>
      <c r="J447" s="10" t="str">
        <f t="shared" si="6"/>
        <v>Slow</v>
      </c>
    </row>
    <row r="448" spans="1:10" outlineLevel="1" x14ac:dyDescent="0.2">
      <c r="A448" t="s">
        <v>742</v>
      </c>
      <c r="B448" t="s">
        <v>273</v>
      </c>
      <c r="C448" t="s">
        <v>51</v>
      </c>
      <c r="D448">
        <v>2018</v>
      </c>
      <c r="E448">
        <v>0.57999999999999996</v>
      </c>
      <c r="F448">
        <v>182</v>
      </c>
      <c r="G448">
        <v>0.77</v>
      </c>
      <c r="H448">
        <v>102</v>
      </c>
      <c r="I448">
        <v>44</v>
      </c>
      <c r="J448" s="10" t="str">
        <f t="shared" si="6"/>
        <v>Fast</v>
      </c>
    </row>
    <row r="449" spans="1:10" outlineLevel="1" x14ac:dyDescent="0.2">
      <c r="A449" t="s">
        <v>786</v>
      </c>
      <c r="B449" t="s">
        <v>249</v>
      </c>
      <c r="C449" t="s">
        <v>63</v>
      </c>
      <c r="D449">
        <v>2018</v>
      </c>
      <c r="E449">
        <v>0.57999999999999996</v>
      </c>
      <c r="F449">
        <v>190</v>
      </c>
      <c r="G449">
        <v>0.84</v>
      </c>
      <c r="H449">
        <v>160</v>
      </c>
      <c r="I449">
        <v>52</v>
      </c>
      <c r="J449" s="10" t="str">
        <f t="shared" si="6"/>
        <v>Fast</v>
      </c>
    </row>
    <row r="450" spans="1:10" outlineLevel="1" x14ac:dyDescent="0.2">
      <c r="A450" t="s">
        <v>263</v>
      </c>
      <c r="B450" t="s">
        <v>26</v>
      </c>
      <c r="C450" t="s">
        <v>51</v>
      </c>
      <c r="D450">
        <v>2013</v>
      </c>
      <c r="E450">
        <v>0.56999999999999995</v>
      </c>
      <c r="F450">
        <v>213</v>
      </c>
      <c r="G450">
        <v>0.93</v>
      </c>
      <c r="H450">
        <v>128</v>
      </c>
      <c r="I450">
        <v>72</v>
      </c>
      <c r="J450" s="10" t="str">
        <f t="shared" si="6"/>
        <v>Fast</v>
      </c>
    </row>
    <row r="451" spans="1:10" outlineLevel="1" x14ac:dyDescent="0.2">
      <c r="A451" t="s">
        <v>312</v>
      </c>
      <c r="B451" t="s">
        <v>12</v>
      </c>
      <c r="C451" t="s">
        <v>83</v>
      </c>
      <c r="D451">
        <v>2013</v>
      </c>
      <c r="E451">
        <v>0.56999999999999995</v>
      </c>
      <c r="F451">
        <v>215</v>
      </c>
      <c r="G451">
        <v>0.81</v>
      </c>
      <c r="H451">
        <v>126</v>
      </c>
      <c r="I451">
        <v>74</v>
      </c>
      <c r="J451" s="10" t="str">
        <f t="shared" ref="J451:J514" si="7">IF(H451&lt;100,"Slow","Fast")</f>
        <v>Fast</v>
      </c>
    </row>
    <row r="452" spans="1:10" outlineLevel="1" x14ac:dyDescent="0.2">
      <c r="A452" t="s">
        <v>457</v>
      </c>
      <c r="B452" t="s">
        <v>71</v>
      </c>
      <c r="C452" t="s">
        <v>51</v>
      </c>
      <c r="D452">
        <v>2015</v>
      </c>
      <c r="E452">
        <v>0.56999999999999995</v>
      </c>
      <c r="F452">
        <v>243</v>
      </c>
      <c r="G452">
        <v>0.78</v>
      </c>
      <c r="H452">
        <v>128</v>
      </c>
      <c r="I452">
        <v>46</v>
      </c>
      <c r="J452" s="10" t="str">
        <f t="shared" si="7"/>
        <v>Fast</v>
      </c>
    </row>
    <row r="453" spans="1:10" outlineLevel="1" x14ac:dyDescent="0.2">
      <c r="A453" t="s">
        <v>477</v>
      </c>
      <c r="B453" t="s">
        <v>478</v>
      </c>
      <c r="C453" t="s">
        <v>479</v>
      </c>
      <c r="D453">
        <v>2015</v>
      </c>
      <c r="E453">
        <v>0.56999999999999995</v>
      </c>
      <c r="F453">
        <v>242</v>
      </c>
      <c r="G453">
        <v>0.66</v>
      </c>
      <c r="H453">
        <v>129</v>
      </c>
      <c r="I453">
        <v>81</v>
      </c>
      <c r="J453" s="10" t="str">
        <f t="shared" si="7"/>
        <v>Fast</v>
      </c>
    </row>
    <row r="454" spans="1:10" outlineLevel="1" x14ac:dyDescent="0.2">
      <c r="A454" t="s">
        <v>486</v>
      </c>
      <c r="B454" t="s">
        <v>487</v>
      </c>
      <c r="C454" t="s">
        <v>51</v>
      </c>
      <c r="D454">
        <v>2015</v>
      </c>
      <c r="E454">
        <v>0.56999999999999995</v>
      </c>
      <c r="F454">
        <v>211</v>
      </c>
      <c r="G454">
        <v>0.82</v>
      </c>
      <c r="H454">
        <v>120</v>
      </c>
      <c r="I454">
        <v>52</v>
      </c>
      <c r="J454" s="10" t="str">
        <f t="shared" si="7"/>
        <v>Fast</v>
      </c>
    </row>
    <row r="455" spans="1:10" outlineLevel="1" x14ac:dyDescent="0.2">
      <c r="A455" t="s">
        <v>533</v>
      </c>
      <c r="B455" t="s">
        <v>534</v>
      </c>
      <c r="C455" t="s">
        <v>142</v>
      </c>
      <c r="D455">
        <v>2015</v>
      </c>
      <c r="E455">
        <v>0.56999999999999995</v>
      </c>
      <c r="F455">
        <v>233</v>
      </c>
      <c r="G455">
        <v>0.89</v>
      </c>
      <c r="H455">
        <v>91</v>
      </c>
      <c r="I455">
        <v>69</v>
      </c>
      <c r="J455" s="10" t="str">
        <f t="shared" si="7"/>
        <v>Slow</v>
      </c>
    </row>
    <row r="456" spans="1:10" outlineLevel="1" x14ac:dyDescent="0.2">
      <c r="A456" t="s">
        <v>567</v>
      </c>
      <c r="B456" t="s">
        <v>440</v>
      </c>
      <c r="C456" t="s">
        <v>441</v>
      </c>
      <c r="D456">
        <v>2016</v>
      </c>
      <c r="E456">
        <v>0.56999999999999995</v>
      </c>
      <c r="F456">
        <v>230</v>
      </c>
      <c r="G456">
        <v>0.74</v>
      </c>
      <c r="H456">
        <v>97</v>
      </c>
      <c r="I456">
        <v>79</v>
      </c>
      <c r="J456" s="10" t="str">
        <f t="shared" si="7"/>
        <v>Slow</v>
      </c>
    </row>
    <row r="457" spans="1:10" outlineLevel="1" x14ac:dyDescent="0.2">
      <c r="A457" t="s">
        <v>599</v>
      </c>
      <c r="B457" t="s">
        <v>476</v>
      </c>
      <c r="C457" t="s">
        <v>51</v>
      </c>
      <c r="D457">
        <v>2016</v>
      </c>
      <c r="E457">
        <v>0.56999999999999995</v>
      </c>
      <c r="F457">
        <v>204</v>
      </c>
      <c r="G457">
        <v>0.76</v>
      </c>
      <c r="H457">
        <v>124</v>
      </c>
      <c r="I457">
        <v>36</v>
      </c>
      <c r="J457" s="10" t="str">
        <f t="shared" si="7"/>
        <v>Fast</v>
      </c>
    </row>
    <row r="458" spans="1:10" outlineLevel="1" x14ac:dyDescent="0.2">
      <c r="A458" t="s">
        <v>657</v>
      </c>
      <c r="B458" t="s">
        <v>354</v>
      </c>
      <c r="C458" t="s">
        <v>355</v>
      </c>
      <c r="D458">
        <v>2016</v>
      </c>
      <c r="E458">
        <v>0.56999999999999995</v>
      </c>
      <c r="F458">
        <v>225</v>
      </c>
      <c r="G458">
        <v>0.79</v>
      </c>
      <c r="H458">
        <v>126</v>
      </c>
      <c r="I458">
        <v>51</v>
      </c>
      <c r="J458" s="10" t="str">
        <f t="shared" si="7"/>
        <v>Fast</v>
      </c>
    </row>
    <row r="459" spans="1:10" outlineLevel="1" x14ac:dyDescent="0.2">
      <c r="A459" t="s">
        <v>707</v>
      </c>
      <c r="B459" t="s">
        <v>324</v>
      </c>
      <c r="C459" t="s">
        <v>51</v>
      </c>
      <c r="D459">
        <v>2017</v>
      </c>
      <c r="E459">
        <v>0.56999999999999995</v>
      </c>
      <c r="F459">
        <v>232</v>
      </c>
      <c r="G459">
        <v>0.78</v>
      </c>
      <c r="H459">
        <v>140</v>
      </c>
      <c r="I459">
        <v>78</v>
      </c>
      <c r="J459" s="10" t="str">
        <f t="shared" si="7"/>
        <v>Fast</v>
      </c>
    </row>
    <row r="460" spans="1:10" outlineLevel="1" x14ac:dyDescent="0.2">
      <c r="A460" t="s">
        <v>715</v>
      </c>
      <c r="B460" t="s">
        <v>197</v>
      </c>
      <c r="C460" t="s">
        <v>51</v>
      </c>
      <c r="D460">
        <v>2017</v>
      </c>
      <c r="E460">
        <v>0.56999999999999995</v>
      </c>
      <c r="F460">
        <v>223</v>
      </c>
      <c r="G460">
        <v>0.81</v>
      </c>
      <c r="H460">
        <v>158</v>
      </c>
      <c r="I460">
        <v>51</v>
      </c>
      <c r="J460" s="10" t="str">
        <f t="shared" si="7"/>
        <v>Fast</v>
      </c>
    </row>
    <row r="461" spans="1:10" outlineLevel="1" x14ac:dyDescent="0.2">
      <c r="A461" t="s">
        <v>746</v>
      </c>
      <c r="B461" t="s">
        <v>744</v>
      </c>
      <c r="C461" t="s">
        <v>51</v>
      </c>
      <c r="D461">
        <v>2018</v>
      </c>
      <c r="E461">
        <v>0.56999999999999995</v>
      </c>
      <c r="F461">
        <v>212</v>
      </c>
      <c r="G461">
        <v>0.69</v>
      </c>
      <c r="H461">
        <v>92</v>
      </c>
      <c r="I461">
        <v>67</v>
      </c>
      <c r="J461" s="10" t="str">
        <f t="shared" si="7"/>
        <v>Slow</v>
      </c>
    </row>
    <row r="462" spans="1:10" outlineLevel="1" x14ac:dyDescent="0.2">
      <c r="A462" t="s">
        <v>760</v>
      </c>
      <c r="B462" t="s">
        <v>95</v>
      </c>
      <c r="C462" t="s">
        <v>51</v>
      </c>
      <c r="D462">
        <v>2018</v>
      </c>
      <c r="E462">
        <v>0.56999999999999995</v>
      </c>
      <c r="F462">
        <v>217</v>
      </c>
      <c r="G462">
        <v>0.33</v>
      </c>
      <c r="H462">
        <v>96</v>
      </c>
      <c r="I462">
        <v>80</v>
      </c>
      <c r="J462" s="10" t="str">
        <f t="shared" si="7"/>
        <v>Slow</v>
      </c>
    </row>
    <row r="463" spans="1:10" outlineLevel="1" x14ac:dyDescent="0.2">
      <c r="A463" t="s">
        <v>140</v>
      </c>
      <c r="B463" t="s">
        <v>141</v>
      </c>
      <c r="C463" t="s">
        <v>142</v>
      </c>
      <c r="D463">
        <v>2011</v>
      </c>
      <c r="E463">
        <v>0.56000000000000005</v>
      </c>
      <c r="F463">
        <v>285</v>
      </c>
      <c r="G463">
        <v>0.33</v>
      </c>
      <c r="H463">
        <v>135</v>
      </c>
      <c r="I463">
        <v>80</v>
      </c>
      <c r="J463" s="10" t="str">
        <f t="shared" si="7"/>
        <v>Fast</v>
      </c>
    </row>
    <row r="464" spans="1:10" outlineLevel="1" x14ac:dyDescent="0.2">
      <c r="A464" t="s">
        <v>230</v>
      </c>
      <c r="B464" t="s">
        <v>231</v>
      </c>
      <c r="C464" t="s">
        <v>51</v>
      </c>
      <c r="D464">
        <v>2012</v>
      </c>
      <c r="E464">
        <v>0.56000000000000005</v>
      </c>
      <c r="F464">
        <v>222</v>
      </c>
      <c r="G464">
        <v>0.94</v>
      </c>
      <c r="H464">
        <v>116</v>
      </c>
      <c r="I464">
        <v>74</v>
      </c>
      <c r="J464" s="10" t="str">
        <f t="shared" si="7"/>
        <v>Fast</v>
      </c>
    </row>
    <row r="465" spans="1:10" outlineLevel="1" x14ac:dyDescent="0.2">
      <c r="A465" t="s">
        <v>238</v>
      </c>
      <c r="B465" t="s">
        <v>239</v>
      </c>
      <c r="C465" t="s">
        <v>63</v>
      </c>
      <c r="D465">
        <v>2012</v>
      </c>
      <c r="E465">
        <v>0.56000000000000005</v>
      </c>
      <c r="F465">
        <v>206</v>
      </c>
      <c r="G465">
        <v>0.87</v>
      </c>
      <c r="H465">
        <v>126</v>
      </c>
      <c r="I465">
        <v>73</v>
      </c>
      <c r="J465" s="10" t="str">
        <f t="shared" si="7"/>
        <v>Fast</v>
      </c>
    </row>
    <row r="466" spans="1:10" outlineLevel="1" x14ac:dyDescent="0.2">
      <c r="A466" t="s">
        <v>245</v>
      </c>
      <c r="B466" t="s">
        <v>111</v>
      </c>
      <c r="C466" t="s">
        <v>112</v>
      </c>
      <c r="D466">
        <v>2012</v>
      </c>
      <c r="E466">
        <v>0.56000000000000005</v>
      </c>
      <c r="F466">
        <v>225</v>
      </c>
      <c r="G466">
        <v>0.71</v>
      </c>
      <c r="H466">
        <v>92</v>
      </c>
      <c r="I466">
        <v>61</v>
      </c>
      <c r="J466" s="10" t="str">
        <f t="shared" si="7"/>
        <v>Slow</v>
      </c>
    </row>
    <row r="467" spans="1:10" outlineLevel="1" x14ac:dyDescent="0.2">
      <c r="A467" t="s">
        <v>296</v>
      </c>
      <c r="B467" t="s">
        <v>85</v>
      </c>
      <c r="C467" t="s">
        <v>86</v>
      </c>
      <c r="D467">
        <v>2013</v>
      </c>
      <c r="E467">
        <v>0.56000000000000005</v>
      </c>
      <c r="F467">
        <v>263</v>
      </c>
      <c r="G467">
        <v>0.52</v>
      </c>
      <c r="H467">
        <v>105</v>
      </c>
      <c r="I467">
        <v>61</v>
      </c>
      <c r="J467" s="10" t="str">
        <f t="shared" si="7"/>
        <v>Fast</v>
      </c>
    </row>
    <row r="468" spans="1:10" outlineLevel="1" x14ac:dyDescent="0.2">
      <c r="A468" t="s">
        <v>309</v>
      </c>
      <c r="B468" t="s">
        <v>310</v>
      </c>
      <c r="C468" t="s">
        <v>63</v>
      </c>
      <c r="D468">
        <v>2013</v>
      </c>
      <c r="E468">
        <v>0.56000000000000005</v>
      </c>
      <c r="F468">
        <v>272</v>
      </c>
      <c r="G468">
        <v>0.52</v>
      </c>
      <c r="H468">
        <v>84</v>
      </c>
      <c r="I468">
        <v>70</v>
      </c>
      <c r="J468" s="10" t="str">
        <f t="shared" si="7"/>
        <v>Slow</v>
      </c>
    </row>
    <row r="469" spans="1:10" outlineLevel="1" x14ac:dyDescent="0.2">
      <c r="A469" t="s">
        <v>349</v>
      </c>
      <c r="B469" t="s">
        <v>252</v>
      </c>
      <c r="C469" t="s">
        <v>237</v>
      </c>
      <c r="D469">
        <v>2013</v>
      </c>
      <c r="E469">
        <v>0.56000000000000005</v>
      </c>
      <c r="F469">
        <v>202</v>
      </c>
      <c r="G469">
        <v>0.82</v>
      </c>
      <c r="H469">
        <v>126</v>
      </c>
      <c r="I469">
        <v>62</v>
      </c>
      <c r="J469" s="10" t="str">
        <f t="shared" si="7"/>
        <v>Fast</v>
      </c>
    </row>
    <row r="470" spans="1:10" outlineLevel="1" x14ac:dyDescent="0.2">
      <c r="A470" t="s">
        <v>377</v>
      </c>
      <c r="B470" t="s">
        <v>24</v>
      </c>
      <c r="C470" t="s">
        <v>63</v>
      </c>
      <c r="D470">
        <v>2014</v>
      </c>
      <c r="E470">
        <v>0.56000000000000005</v>
      </c>
      <c r="F470">
        <v>229</v>
      </c>
      <c r="G470">
        <v>0.75</v>
      </c>
      <c r="H470">
        <v>126</v>
      </c>
      <c r="I470">
        <v>67</v>
      </c>
      <c r="J470" s="10" t="str">
        <f t="shared" si="7"/>
        <v>Fast</v>
      </c>
    </row>
    <row r="471" spans="1:10" outlineLevel="1" x14ac:dyDescent="0.2">
      <c r="A471" t="s">
        <v>388</v>
      </c>
      <c r="B471" t="s">
        <v>217</v>
      </c>
      <c r="C471" t="s">
        <v>51</v>
      </c>
      <c r="D471">
        <v>2014</v>
      </c>
      <c r="E471">
        <v>0.56000000000000005</v>
      </c>
      <c r="F471">
        <v>231</v>
      </c>
      <c r="G471">
        <v>0.78</v>
      </c>
      <c r="H471">
        <v>87</v>
      </c>
      <c r="I471">
        <v>71</v>
      </c>
      <c r="J471" s="10" t="str">
        <f t="shared" si="7"/>
        <v>Slow</v>
      </c>
    </row>
    <row r="472" spans="1:10" outlineLevel="1" x14ac:dyDescent="0.2">
      <c r="A472" t="s">
        <v>405</v>
      </c>
      <c r="B472" t="s">
        <v>406</v>
      </c>
      <c r="C472" t="s">
        <v>407</v>
      </c>
      <c r="D472">
        <v>2014</v>
      </c>
      <c r="E472">
        <v>0.56000000000000005</v>
      </c>
      <c r="F472">
        <v>215</v>
      </c>
      <c r="G472">
        <v>0.82</v>
      </c>
      <c r="H472">
        <v>92</v>
      </c>
      <c r="I472">
        <v>37</v>
      </c>
      <c r="J472" s="10" t="str">
        <f t="shared" si="7"/>
        <v>Slow</v>
      </c>
    </row>
    <row r="473" spans="1:10" outlineLevel="1" x14ac:dyDescent="0.2">
      <c r="A473" t="s">
        <v>580</v>
      </c>
      <c r="B473" t="s">
        <v>210</v>
      </c>
      <c r="C473" t="s">
        <v>86</v>
      </c>
      <c r="D473">
        <v>2016</v>
      </c>
      <c r="E473">
        <v>0.56000000000000005</v>
      </c>
      <c r="F473">
        <v>251</v>
      </c>
      <c r="G473">
        <v>0.72</v>
      </c>
      <c r="H473">
        <v>119</v>
      </c>
      <c r="I473">
        <v>63</v>
      </c>
      <c r="J473" s="10" t="str">
        <f t="shared" si="7"/>
        <v>Fast</v>
      </c>
    </row>
    <row r="474" spans="1:10" outlineLevel="1" x14ac:dyDescent="0.2">
      <c r="A474" t="s">
        <v>624</v>
      </c>
      <c r="B474" t="s">
        <v>517</v>
      </c>
      <c r="C474" t="s">
        <v>51</v>
      </c>
      <c r="D474">
        <v>2016</v>
      </c>
      <c r="E474">
        <v>0.56000000000000005</v>
      </c>
      <c r="F474">
        <v>214</v>
      </c>
      <c r="G474">
        <v>0.8</v>
      </c>
      <c r="H474">
        <v>92</v>
      </c>
      <c r="I474">
        <v>70</v>
      </c>
      <c r="J474" s="10" t="str">
        <f t="shared" si="7"/>
        <v>Slow</v>
      </c>
    </row>
    <row r="475" spans="1:10" outlineLevel="1" x14ac:dyDescent="0.2">
      <c r="A475" t="s">
        <v>656</v>
      </c>
      <c r="B475" t="s">
        <v>655</v>
      </c>
      <c r="C475" t="s">
        <v>51</v>
      </c>
      <c r="D475">
        <v>2016</v>
      </c>
      <c r="E475">
        <v>0.56000000000000005</v>
      </c>
      <c r="F475">
        <v>192</v>
      </c>
      <c r="G475">
        <v>0.83</v>
      </c>
      <c r="H475">
        <v>113</v>
      </c>
      <c r="I475">
        <v>65</v>
      </c>
      <c r="J475" s="10" t="str">
        <f t="shared" si="7"/>
        <v>Fast</v>
      </c>
    </row>
    <row r="476" spans="1:10" outlineLevel="1" x14ac:dyDescent="0.2">
      <c r="A476" t="s">
        <v>15</v>
      </c>
      <c r="B476" t="s">
        <v>16</v>
      </c>
      <c r="C476" t="s">
        <v>86</v>
      </c>
      <c r="D476">
        <v>2017</v>
      </c>
      <c r="E476">
        <v>0.56000000000000005</v>
      </c>
      <c r="F476">
        <v>209</v>
      </c>
      <c r="G476">
        <v>0.66</v>
      </c>
      <c r="H476">
        <v>148</v>
      </c>
      <c r="I476">
        <v>81</v>
      </c>
      <c r="J476" s="10" t="str">
        <f t="shared" si="7"/>
        <v>Fast</v>
      </c>
    </row>
    <row r="477" spans="1:10" outlineLevel="1" x14ac:dyDescent="0.2">
      <c r="A477" t="s">
        <v>149</v>
      </c>
      <c r="B477" t="s">
        <v>147</v>
      </c>
      <c r="C477" t="s">
        <v>51</v>
      </c>
      <c r="D477">
        <v>2011</v>
      </c>
      <c r="E477">
        <v>0.55000000000000004</v>
      </c>
      <c r="F477">
        <v>254</v>
      </c>
      <c r="G477">
        <v>0.65</v>
      </c>
      <c r="H477">
        <v>99</v>
      </c>
      <c r="I477">
        <v>73</v>
      </c>
      <c r="J477" s="10" t="str">
        <f t="shared" si="7"/>
        <v>Slow</v>
      </c>
    </row>
    <row r="478" spans="1:10" outlineLevel="1" x14ac:dyDescent="0.2">
      <c r="A478" t="s">
        <v>253</v>
      </c>
      <c r="B478" t="s">
        <v>57</v>
      </c>
      <c r="C478" t="s">
        <v>58</v>
      </c>
      <c r="D478">
        <v>2013</v>
      </c>
      <c r="E478">
        <v>0.55000000000000004</v>
      </c>
      <c r="F478">
        <v>271</v>
      </c>
      <c r="G478">
        <v>0.81</v>
      </c>
      <c r="H478">
        <v>93</v>
      </c>
      <c r="I478">
        <v>59</v>
      </c>
      <c r="J478" s="10" t="str">
        <f t="shared" si="7"/>
        <v>Slow</v>
      </c>
    </row>
    <row r="479" spans="1:10" outlineLevel="1" x14ac:dyDescent="0.2">
      <c r="A479" t="s">
        <v>302</v>
      </c>
      <c r="B479" t="s">
        <v>10</v>
      </c>
      <c r="C479" t="s">
        <v>51</v>
      </c>
      <c r="D479">
        <v>2013</v>
      </c>
      <c r="E479">
        <v>0.55000000000000004</v>
      </c>
      <c r="F479">
        <v>224</v>
      </c>
      <c r="G479">
        <v>0.77</v>
      </c>
      <c r="H479">
        <v>180</v>
      </c>
      <c r="I479">
        <v>78</v>
      </c>
      <c r="J479" s="10" t="str">
        <f t="shared" si="7"/>
        <v>Fast</v>
      </c>
    </row>
    <row r="480" spans="1:10" outlineLevel="1" x14ac:dyDescent="0.2">
      <c r="A480" t="s">
        <v>340</v>
      </c>
      <c r="B480" t="s">
        <v>341</v>
      </c>
      <c r="C480" t="s">
        <v>204</v>
      </c>
      <c r="D480">
        <v>2013</v>
      </c>
      <c r="E480">
        <v>0.55000000000000004</v>
      </c>
      <c r="F480">
        <v>221</v>
      </c>
      <c r="G480">
        <v>0.84</v>
      </c>
      <c r="H480">
        <v>185</v>
      </c>
      <c r="I480">
        <v>71</v>
      </c>
      <c r="J480" s="10" t="str">
        <f t="shared" si="7"/>
        <v>Fast</v>
      </c>
    </row>
    <row r="481" spans="1:10" outlineLevel="1" x14ac:dyDescent="0.2">
      <c r="A481" t="s">
        <v>342</v>
      </c>
      <c r="B481" t="s">
        <v>343</v>
      </c>
      <c r="C481" t="s">
        <v>51</v>
      </c>
      <c r="D481">
        <v>2013</v>
      </c>
      <c r="E481">
        <v>0.55000000000000004</v>
      </c>
      <c r="F481">
        <v>232</v>
      </c>
      <c r="G481">
        <v>0.79</v>
      </c>
      <c r="H481">
        <v>80</v>
      </c>
      <c r="I481">
        <v>57</v>
      </c>
      <c r="J481" s="10" t="str">
        <f t="shared" si="7"/>
        <v>Slow</v>
      </c>
    </row>
    <row r="482" spans="1:10" outlineLevel="1" x14ac:dyDescent="0.2">
      <c r="A482" t="s">
        <v>350</v>
      </c>
      <c r="B482" t="s">
        <v>252</v>
      </c>
      <c r="C482" t="s">
        <v>237</v>
      </c>
      <c r="D482">
        <v>2013</v>
      </c>
      <c r="E482">
        <v>0.55000000000000004</v>
      </c>
      <c r="F482">
        <v>206</v>
      </c>
      <c r="G482">
        <v>0.94</v>
      </c>
      <c r="H482">
        <v>104</v>
      </c>
      <c r="I482">
        <v>56</v>
      </c>
      <c r="J482" s="10" t="str">
        <f t="shared" si="7"/>
        <v>Fast</v>
      </c>
    </row>
    <row r="483" spans="1:10" outlineLevel="1" x14ac:dyDescent="0.2">
      <c r="A483" t="s">
        <v>363</v>
      </c>
      <c r="B483" t="s">
        <v>258</v>
      </c>
      <c r="C483" t="s">
        <v>101</v>
      </c>
      <c r="D483">
        <v>2014</v>
      </c>
      <c r="E483">
        <v>0.55000000000000004</v>
      </c>
      <c r="F483">
        <v>255</v>
      </c>
      <c r="G483">
        <v>0.78</v>
      </c>
      <c r="H483">
        <v>125</v>
      </c>
      <c r="I483">
        <v>78</v>
      </c>
      <c r="J483" s="10" t="str">
        <f t="shared" si="7"/>
        <v>Fast</v>
      </c>
    </row>
    <row r="484" spans="1:10" outlineLevel="1" x14ac:dyDescent="0.2">
      <c r="A484" t="s">
        <v>382</v>
      </c>
      <c r="B484" t="s">
        <v>213</v>
      </c>
      <c r="C484" t="s">
        <v>214</v>
      </c>
      <c r="D484">
        <v>2014</v>
      </c>
      <c r="E484">
        <v>0.55000000000000004</v>
      </c>
      <c r="F484">
        <v>268</v>
      </c>
      <c r="G484">
        <v>0.68</v>
      </c>
      <c r="H484">
        <v>125</v>
      </c>
      <c r="I484">
        <v>60</v>
      </c>
      <c r="J484" s="10" t="str">
        <f t="shared" si="7"/>
        <v>Fast</v>
      </c>
    </row>
    <row r="485" spans="1:10" outlineLevel="1" x14ac:dyDescent="0.2">
      <c r="A485" t="s">
        <v>589</v>
      </c>
      <c r="B485" t="s">
        <v>587</v>
      </c>
      <c r="C485" t="s">
        <v>51</v>
      </c>
      <c r="D485">
        <v>2016</v>
      </c>
      <c r="E485">
        <v>0.55000000000000004</v>
      </c>
      <c r="F485">
        <v>232</v>
      </c>
      <c r="G485">
        <v>0.79</v>
      </c>
      <c r="H485">
        <v>105</v>
      </c>
      <c r="I485">
        <v>72</v>
      </c>
      <c r="J485" s="10" t="str">
        <f t="shared" si="7"/>
        <v>Fast</v>
      </c>
    </row>
    <row r="486" spans="1:10" outlineLevel="1" x14ac:dyDescent="0.2">
      <c r="A486" t="s">
        <v>608</v>
      </c>
      <c r="B486" t="s">
        <v>10</v>
      </c>
      <c r="C486" t="s">
        <v>51</v>
      </c>
      <c r="D486">
        <v>2016</v>
      </c>
      <c r="E486">
        <v>0.55000000000000004</v>
      </c>
      <c r="F486">
        <v>203</v>
      </c>
      <c r="G486">
        <v>0.64</v>
      </c>
      <c r="H486">
        <v>101</v>
      </c>
      <c r="I486">
        <v>66</v>
      </c>
      <c r="J486" s="10" t="str">
        <f t="shared" si="7"/>
        <v>Fast</v>
      </c>
    </row>
    <row r="487" spans="1:10" outlineLevel="1" x14ac:dyDescent="0.2">
      <c r="A487" t="s">
        <v>634</v>
      </c>
      <c r="B487" t="s">
        <v>108</v>
      </c>
      <c r="C487" t="s">
        <v>51</v>
      </c>
      <c r="D487">
        <v>2016</v>
      </c>
      <c r="E487">
        <v>0.55000000000000004</v>
      </c>
      <c r="F487">
        <v>170</v>
      </c>
      <c r="G487">
        <v>0.69</v>
      </c>
      <c r="H487">
        <v>100</v>
      </c>
      <c r="I487">
        <v>66</v>
      </c>
      <c r="J487" s="10" t="str">
        <f t="shared" si="7"/>
        <v>Fast</v>
      </c>
    </row>
    <row r="488" spans="1:10" outlineLevel="1" x14ac:dyDescent="0.2">
      <c r="A488" t="s">
        <v>646</v>
      </c>
      <c r="B488" t="s">
        <v>249</v>
      </c>
      <c r="C488" t="s">
        <v>63</v>
      </c>
      <c r="D488">
        <v>2016</v>
      </c>
      <c r="E488">
        <v>0.55000000000000004</v>
      </c>
      <c r="F488">
        <v>236</v>
      </c>
      <c r="G488">
        <v>0.84</v>
      </c>
      <c r="H488">
        <v>92</v>
      </c>
      <c r="I488">
        <v>66</v>
      </c>
      <c r="J488" s="10" t="str">
        <f t="shared" si="7"/>
        <v>Slow</v>
      </c>
    </row>
    <row r="489" spans="1:10" outlineLevel="1" x14ac:dyDescent="0.2">
      <c r="A489" t="s">
        <v>708</v>
      </c>
      <c r="B489" t="s">
        <v>324</v>
      </c>
      <c r="C489" t="s">
        <v>51</v>
      </c>
      <c r="D489">
        <v>2017</v>
      </c>
      <c r="E489">
        <v>0.55000000000000004</v>
      </c>
      <c r="F489">
        <v>249</v>
      </c>
      <c r="G489">
        <v>0.87</v>
      </c>
      <c r="H489">
        <v>122</v>
      </c>
      <c r="I489">
        <v>62</v>
      </c>
      <c r="J489" s="10" t="str">
        <f t="shared" si="7"/>
        <v>Fast</v>
      </c>
    </row>
    <row r="490" spans="1:10" outlineLevel="1" x14ac:dyDescent="0.2">
      <c r="A490" t="s">
        <v>262</v>
      </c>
      <c r="B490" t="s">
        <v>26</v>
      </c>
      <c r="C490" t="s">
        <v>51</v>
      </c>
      <c r="D490">
        <v>2013</v>
      </c>
      <c r="E490">
        <v>0.54</v>
      </c>
      <c r="F490">
        <v>184</v>
      </c>
      <c r="G490">
        <v>0.92</v>
      </c>
      <c r="H490">
        <v>126</v>
      </c>
      <c r="I490">
        <v>74</v>
      </c>
      <c r="J490" s="10" t="str">
        <f t="shared" si="7"/>
        <v>Fast</v>
      </c>
    </row>
    <row r="491" spans="1:10" outlineLevel="1" x14ac:dyDescent="0.2">
      <c r="A491" t="s">
        <v>509</v>
      </c>
      <c r="B491" t="s">
        <v>510</v>
      </c>
      <c r="C491" t="s">
        <v>51</v>
      </c>
      <c r="D491">
        <v>2015</v>
      </c>
      <c r="E491">
        <v>0.54</v>
      </c>
      <c r="F491">
        <v>250</v>
      </c>
      <c r="G491">
        <v>0.55000000000000004</v>
      </c>
      <c r="H491">
        <v>79</v>
      </c>
      <c r="I491">
        <v>54</v>
      </c>
      <c r="J491" s="10" t="str">
        <f t="shared" si="7"/>
        <v>Slow</v>
      </c>
    </row>
    <row r="492" spans="1:10" outlineLevel="1" x14ac:dyDescent="0.2">
      <c r="A492" t="s">
        <v>762</v>
      </c>
      <c r="B492" t="s">
        <v>702</v>
      </c>
      <c r="C492" t="s">
        <v>51</v>
      </c>
      <c r="D492">
        <v>2018</v>
      </c>
      <c r="E492">
        <v>0.54</v>
      </c>
      <c r="F492">
        <v>243</v>
      </c>
      <c r="G492">
        <v>0.8</v>
      </c>
      <c r="H492">
        <v>113</v>
      </c>
      <c r="I492">
        <v>67</v>
      </c>
      <c r="J492" s="10" t="str">
        <f t="shared" si="7"/>
        <v>Fast</v>
      </c>
    </row>
    <row r="493" spans="1:10" outlineLevel="1" x14ac:dyDescent="0.2">
      <c r="A493" t="s">
        <v>109</v>
      </c>
      <c r="B493" t="s">
        <v>108</v>
      </c>
      <c r="C493" t="s">
        <v>51</v>
      </c>
      <c r="D493">
        <v>2010</v>
      </c>
      <c r="E493">
        <v>0.53</v>
      </c>
      <c r="F493">
        <v>238</v>
      </c>
      <c r="G493">
        <v>0.95</v>
      </c>
      <c r="H493">
        <v>146</v>
      </c>
      <c r="I493">
        <v>65</v>
      </c>
      <c r="J493" s="10" t="str">
        <f t="shared" si="7"/>
        <v>Fast</v>
      </c>
    </row>
    <row r="494" spans="1:10" outlineLevel="1" x14ac:dyDescent="0.2">
      <c r="A494" t="s">
        <v>257</v>
      </c>
      <c r="B494" t="s">
        <v>258</v>
      </c>
      <c r="C494" t="s">
        <v>101</v>
      </c>
      <c r="D494">
        <v>2013</v>
      </c>
      <c r="E494">
        <v>0.53</v>
      </c>
      <c r="F494">
        <v>247</v>
      </c>
      <c r="G494">
        <v>0.78</v>
      </c>
      <c r="H494">
        <v>124</v>
      </c>
      <c r="I494">
        <v>85</v>
      </c>
      <c r="J494" s="10" t="str">
        <f t="shared" si="7"/>
        <v>Fast</v>
      </c>
    </row>
    <row r="495" spans="1:10" outlineLevel="1" x14ac:dyDescent="0.2">
      <c r="A495" t="s">
        <v>325</v>
      </c>
      <c r="B495" t="s">
        <v>324</v>
      </c>
      <c r="C495" t="s">
        <v>51</v>
      </c>
      <c r="D495">
        <v>2013</v>
      </c>
      <c r="E495">
        <v>0.53</v>
      </c>
      <c r="F495">
        <v>221</v>
      </c>
      <c r="G495">
        <v>0.42</v>
      </c>
      <c r="H495">
        <v>120</v>
      </c>
      <c r="I495">
        <v>77</v>
      </c>
      <c r="J495" s="10" t="str">
        <f t="shared" si="7"/>
        <v>Fast</v>
      </c>
    </row>
    <row r="496" spans="1:10" outlineLevel="1" x14ac:dyDescent="0.2">
      <c r="A496" t="s">
        <v>336</v>
      </c>
      <c r="B496" t="s">
        <v>111</v>
      </c>
      <c r="C496" t="s">
        <v>112</v>
      </c>
      <c r="D496">
        <v>2013</v>
      </c>
      <c r="E496">
        <v>0.53</v>
      </c>
      <c r="F496">
        <v>186</v>
      </c>
      <c r="G496">
        <v>0.74</v>
      </c>
      <c r="H496">
        <v>130</v>
      </c>
      <c r="I496">
        <v>42</v>
      </c>
      <c r="J496" s="10" t="str">
        <f t="shared" si="7"/>
        <v>Fast</v>
      </c>
    </row>
    <row r="497" spans="1:10" outlineLevel="1" x14ac:dyDescent="0.2">
      <c r="A497" t="s">
        <v>374</v>
      </c>
      <c r="B497" t="s">
        <v>371</v>
      </c>
      <c r="C497" t="s">
        <v>136</v>
      </c>
      <c r="D497">
        <v>2014</v>
      </c>
      <c r="E497">
        <v>0.53</v>
      </c>
      <c r="F497">
        <v>239</v>
      </c>
      <c r="G497">
        <v>0.35</v>
      </c>
      <c r="H497">
        <v>120</v>
      </c>
      <c r="I497">
        <v>44</v>
      </c>
      <c r="J497" s="10" t="str">
        <f t="shared" si="7"/>
        <v>Fast</v>
      </c>
    </row>
    <row r="498" spans="1:10" outlineLevel="1" x14ac:dyDescent="0.2">
      <c r="A498" t="s">
        <v>494</v>
      </c>
      <c r="B498" t="s">
        <v>85</v>
      </c>
      <c r="C498" t="s">
        <v>86</v>
      </c>
      <c r="D498">
        <v>2015</v>
      </c>
      <c r="E498">
        <v>0.53</v>
      </c>
      <c r="F498">
        <v>245</v>
      </c>
      <c r="G498">
        <v>0.81</v>
      </c>
      <c r="H498">
        <v>127</v>
      </c>
      <c r="I498">
        <v>67</v>
      </c>
      <c r="J498" s="10" t="str">
        <f t="shared" si="7"/>
        <v>Fast</v>
      </c>
    </row>
    <row r="499" spans="1:10" outlineLevel="1" x14ac:dyDescent="0.2">
      <c r="A499" t="s">
        <v>649</v>
      </c>
      <c r="B499" t="s">
        <v>18</v>
      </c>
      <c r="C499" t="s">
        <v>437</v>
      </c>
      <c r="D499">
        <v>2016</v>
      </c>
      <c r="E499">
        <v>0.53</v>
      </c>
      <c r="F499">
        <v>208</v>
      </c>
      <c r="G499">
        <v>0.87</v>
      </c>
      <c r="H499">
        <v>160</v>
      </c>
      <c r="I499">
        <v>81</v>
      </c>
      <c r="J499" s="10" t="str">
        <f t="shared" si="7"/>
        <v>Fast</v>
      </c>
    </row>
    <row r="500" spans="1:10" outlineLevel="1" x14ac:dyDescent="0.2">
      <c r="A500" t="s">
        <v>678</v>
      </c>
      <c r="B500" t="s">
        <v>679</v>
      </c>
      <c r="C500" t="s">
        <v>237</v>
      </c>
      <c r="D500">
        <v>2017</v>
      </c>
      <c r="E500">
        <v>0.53</v>
      </c>
      <c r="F500">
        <v>189</v>
      </c>
      <c r="G500">
        <v>0.91</v>
      </c>
      <c r="H500">
        <v>94</v>
      </c>
      <c r="I500">
        <v>71</v>
      </c>
      <c r="J500" s="10" t="str">
        <f t="shared" si="7"/>
        <v>Slow</v>
      </c>
    </row>
    <row r="501" spans="1:10" outlineLevel="1" x14ac:dyDescent="0.2">
      <c r="A501" t="s">
        <v>699</v>
      </c>
      <c r="B501" t="s">
        <v>12</v>
      </c>
      <c r="C501" t="s">
        <v>83</v>
      </c>
      <c r="D501">
        <v>2017</v>
      </c>
      <c r="E501">
        <v>0.53</v>
      </c>
      <c r="F501">
        <v>273</v>
      </c>
      <c r="G501">
        <v>0.37</v>
      </c>
      <c r="H501">
        <v>99</v>
      </c>
      <c r="I501">
        <v>72</v>
      </c>
      <c r="J501" s="10" t="str">
        <f t="shared" si="7"/>
        <v>Slow</v>
      </c>
    </row>
    <row r="502" spans="1:10" outlineLevel="1" x14ac:dyDescent="0.2">
      <c r="A502" t="s">
        <v>740</v>
      </c>
      <c r="B502" t="s">
        <v>71</v>
      </c>
      <c r="C502" t="s">
        <v>51</v>
      </c>
      <c r="D502">
        <v>2018</v>
      </c>
      <c r="E502">
        <v>0.53</v>
      </c>
      <c r="F502">
        <v>195</v>
      </c>
      <c r="G502">
        <v>0.61</v>
      </c>
      <c r="H502">
        <v>145</v>
      </c>
      <c r="I502">
        <v>65</v>
      </c>
      <c r="J502" s="10" t="str">
        <f t="shared" si="7"/>
        <v>Fast</v>
      </c>
    </row>
    <row r="503" spans="1:10" outlineLevel="1" x14ac:dyDescent="0.2">
      <c r="A503" t="s">
        <v>780</v>
      </c>
      <c r="B503" t="s">
        <v>16</v>
      </c>
      <c r="C503" t="s">
        <v>86</v>
      </c>
      <c r="D503">
        <v>2018</v>
      </c>
      <c r="E503">
        <v>0.53</v>
      </c>
      <c r="F503">
        <v>191</v>
      </c>
      <c r="G503">
        <v>0.6</v>
      </c>
      <c r="H503">
        <v>100</v>
      </c>
      <c r="I503">
        <v>75</v>
      </c>
      <c r="J503" s="10" t="str">
        <f t="shared" si="7"/>
        <v>Fast</v>
      </c>
    </row>
    <row r="504" spans="1:10" outlineLevel="1" x14ac:dyDescent="0.2">
      <c r="A504" t="s">
        <v>796</v>
      </c>
      <c r="B504" t="s">
        <v>28</v>
      </c>
      <c r="C504" t="s">
        <v>51</v>
      </c>
      <c r="D504">
        <v>2019</v>
      </c>
      <c r="E504">
        <v>0.53</v>
      </c>
      <c r="F504">
        <v>260</v>
      </c>
      <c r="G504">
        <v>0.76</v>
      </c>
      <c r="H504">
        <v>136</v>
      </c>
      <c r="I504">
        <v>70</v>
      </c>
      <c r="J504" s="10" t="str">
        <f t="shared" si="7"/>
        <v>Fast</v>
      </c>
    </row>
    <row r="505" spans="1:10" outlineLevel="1" x14ac:dyDescent="0.2">
      <c r="A505" t="s">
        <v>826</v>
      </c>
      <c r="B505" t="s">
        <v>18</v>
      </c>
      <c r="C505" t="s">
        <v>437</v>
      </c>
      <c r="D505">
        <v>2019</v>
      </c>
      <c r="E505">
        <v>0.53</v>
      </c>
      <c r="F505">
        <v>210</v>
      </c>
      <c r="G505">
        <v>0.51</v>
      </c>
      <c r="H505">
        <v>100</v>
      </c>
      <c r="I505">
        <v>83</v>
      </c>
      <c r="J505" s="10" t="str">
        <f t="shared" si="7"/>
        <v>Fast</v>
      </c>
    </row>
    <row r="506" spans="1:10" outlineLevel="1" x14ac:dyDescent="0.2">
      <c r="A506" t="s">
        <v>107</v>
      </c>
      <c r="B506" t="s">
        <v>108</v>
      </c>
      <c r="C506" t="s">
        <v>51</v>
      </c>
      <c r="D506">
        <v>2010</v>
      </c>
      <c r="E506">
        <v>0.52</v>
      </c>
      <c r="F506">
        <v>225</v>
      </c>
      <c r="G506">
        <v>0.76</v>
      </c>
      <c r="H506">
        <v>148</v>
      </c>
      <c r="I506">
        <v>77</v>
      </c>
      <c r="J506" s="10" t="str">
        <f t="shared" si="7"/>
        <v>Fast</v>
      </c>
    </row>
    <row r="507" spans="1:10" outlineLevel="1" x14ac:dyDescent="0.2">
      <c r="A507" t="s">
        <v>181</v>
      </c>
      <c r="B507" t="s">
        <v>95</v>
      </c>
      <c r="C507" t="s">
        <v>51</v>
      </c>
      <c r="D507">
        <v>2011</v>
      </c>
      <c r="E507">
        <v>0.52</v>
      </c>
      <c r="F507">
        <v>307</v>
      </c>
      <c r="G507">
        <v>0.7</v>
      </c>
      <c r="H507">
        <v>127</v>
      </c>
      <c r="I507">
        <v>64</v>
      </c>
      <c r="J507" s="10" t="str">
        <f t="shared" si="7"/>
        <v>Fast</v>
      </c>
    </row>
    <row r="508" spans="1:10" outlineLevel="1" x14ac:dyDescent="0.2">
      <c r="A508" t="s">
        <v>332</v>
      </c>
      <c r="B508" t="s">
        <v>108</v>
      </c>
      <c r="C508" t="s">
        <v>51</v>
      </c>
      <c r="D508">
        <v>2013</v>
      </c>
      <c r="E508">
        <v>0.52</v>
      </c>
      <c r="F508">
        <v>215</v>
      </c>
      <c r="G508">
        <v>0.75</v>
      </c>
      <c r="H508">
        <v>126</v>
      </c>
      <c r="I508">
        <v>69</v>
      </c>
      <c r="J508" s="10" t="str">
        <f t="shared" si="7"/>
        <v>Fast</v>
      </c>
    </row>
    <row r="509" spans="1:10" outlineLevel="1" x14ac:dyDescent="0.2">
      <c r="A509" t="s">
        <v>442</v>
      </c>
      <c r="B509" t="s">
        <v>443</v>
      </c>
      <c r="C509" t="s">
        <v>101</v>
      </c>
      <c r="D509">
        <v>2015</v>
      </c>
      <c r="E509">
        <v>0.52</v>
      </c>
      <c r="F509">
        <v>210</v>
      </c>
      <c r="G509">
        <v>0.75</v>
      </c>
      <c r="H509">
        <v>126</v>
      </c>
      <c r="I509">
        <v>56</v>
      </c>
      <c r="J509" s="10" t="str">
        <f t="shared" si="7"/>
        <v>Fast</v>
      </c>
    </row>
    <row r="510" spans="1:10" outlineLevel="1" x14ac:dyDescent="0.2">
      <c r="A510" t="s">
        <v>606</v>
      </c>
      <c r="B510" t="s">
        <v>397</v>
      </c>
      <c r="C510" t="s">
        <v>136</v>
      </c>
      <c r="D510">
        <v>2016</v>
      </c>
      <c r="E510">
        <v>0.52</v>
      </c>
      <c r="F510">
        <v>310</v>
      </c>
      <c r="G510">
        <v>0.04</v>
      </c>
      <c r="H510">
        <v>110</v>
      </c>
      <c r="I510">
        <v>47</v>
      </c>
      <c r="J510" s="10" t="str">
        <f t="shared" si="7"/>
        <v>Fast</v>
      </c>
    </row>
    <row r="511" spans="1:10" outlineLevel="1" x14ac:dyDescent="0.2">
      <c r="A511" t="s">
        <v>31</v>
      </c>
      <c r="B511" t="s">
        <v>32</v>
      </c>
      <c r="C511" t="s">
        <v>51</v>
      </c>
      <c r="D511">
        <v>2018</v>
      </c>
      <c r="E511">
        <v>0.52</v>
      </c>
      <c r="F511">
        <v>341</v>
      </c>
      <c r="G511">
        <v>0.56999999999999995</v>
      </c>
      <c r="H511">
        <v>120</v>
      </c>
      <c r="I511">
        <v>72</v>
      </c>
      <c r="J511" s="10" t="str">
        <f t="shared" si="7"/>
        <v>Fast</v>
      </c>
    </row>
    <row r="512" spans="1:10" outlineLevel="1" x14ac:dyDescent="0.2">
      <c r="A512" t="s">
        <v>764</v>
      </c>
      <c r="B512" t="s">
        <v>41</v>
      </c>
      <c r="C512" t="s">
        <v>765</v>
      </c>
      <c r="D512">
        <v>2018</v>
      </c>
      <c r="E512">
        <v>0.52</v>
      </c>
      <c r="F512">
        <v>181</v>
      </c>
      <c r="G512">
        <v>0.76</v>
      </c>
      <c r="H512">
        <v>142</v>
      </c>
      <c r="I512">
        <v>82</v>
      </c>
      <c r="J512" s="10" t="str">
        <f t="shared" si="7"/>
        <v>Fast</v>
      </c>
    </row>
    <row r="513" spans="1:10" outlineLevel="1" x14ac:dyDescent="0.2">
      <c r="A513" t="s">
        <v>67</v>
      </c>
      <c r="B513" t="s">
        <v>66</v>
      </c>
      <c r="C513" t="s">
        <v>51</v>
      </c>
      <c r="D513">
        <v>2010</v>
      </c>
      <c r="E513">
        <v>0.51</v>
      </c>
      <c r="F513">
        <v>185</v>
      </c>
      <c r="G513">
        <v>0.85</v>
      </c>
      <c r="H513">
        <v>150</v>
      </c>
      <c r="I513">
        <v>58</v>
      </c>
      <c r="J513" s="10" t="str">
        <f t="shared" si="7"/>
        <v>Fast</v>
      </c>
    </row>
    <row r="514" spans="1:10" outlineLevel="1" x14ac:dyDescent="0.2">
      <c r="A514" t="s">
        <v>228</v>
      </c>
      <c r="B514" t="s">
        <v>10</v>
      </c>
      <c r="C514" t="s">
        <v>51</v>
      </c>
      <c r="D514">
        <v>2012</v>
      </c>
      <c r="E514">
        <v>0.51</v>
      </c>
      <c r="F514">
        <v>221</v>
      </c>
      <c r="G514">
        <v>0.68</v>
      </c>
      <c r="H514">
        <v>160</v>
      </c>
      <c r="I514">
        <v>68</v>
      </c>
      <c r="J514" s="10" t="str">
        <f t="shared" si="7"/>
        <v>Fast</v>
      </c>
    </row>
    <row r="515" spans="1:10" outlineLevel="1" x14ac:dyDescent="0.2">
      <c r="A515" t="s">
        <v>291</v>
      </c>
      <c r="B515" t="s">
        <v>292</v>
      </c>
      <c r="C515" t="s">
        <v>293</v>
      </c>
      <c r="D515">
        <v>2013</v>
      </c>
      <c r="E515">
        <v>0.51</v>
      </c>
      <c r="F515">
        <v>250</v>
      </c>
      <c r="G515">
        <v>0.34</v>
      </c>
      <c r="H515">
        <v>132</v>
      </c>
      <c r="I515">
        <v>36</v>
      </c>
      <c r="J515" s="10" t="str">
        <f t="shared" ref="J515:J578" si="8">IF(H515&lt;100,"Slow","Fast")</f>
        <v>Fast</v>
      </c>
    </row>
    <row r="516" spans="1:10" outlineLevel="1" x14ac:dyDescent="0.2">
      <c r="A516" t="s">
        <v>303</v>
      </c>
      <c r="B516" t="s">
        <v>231</v>
      </c>
      <c r="C516" t="s">
        <v>51</v>
      </c>
      <c r="D516">
        <v>2013</v>
      </c>
      <c r="E516">
        <v>0.51</v>
      </c>
      <c r="F516">
        <v>230</v>
      </c>
      <c r="G516">
        <v>0.81</v>
      </c>
      <c r="H516">
        <v>160</v>
      </c>
      <c r="I516">
        <v>88</v>
      </c>
      <c r="J516" s="10" t="str">
        <f t="shared" si="8"/>
        <v>Fast</v>
      </c>
    </row>
    <row r="517" spans="1:10" outlineLevel="1" x14ac:dyDescent="0.2">
      <c r="A517" t="s">
        <v>353</v>
      </c>
      <c r="B517" t="s">
        <v>354</v>
      </c>
      <c r="C517" t="s">
        <v>355</v>
      </c>
      <c r="D517">
        <v>2013</v>
      </c>
      <c r="E517">
        <v>0.51</v>
      </c>
      <c r="F517">
        <v>271</v>
      </c>
      <c r="G517">
        <v>0.78</v>
      </c>
      <c r="H517">
        <v>128</v>
      </c>
      <c r="I517">
        <v>75</v>
      </c>
      <c r="J517" s="10" t="str">
        <f t="shared" si="8"/>
        <v>Fast</v>
      </c>
    </row>
    <row r="518" spans="1:10" outlineLevel="1" x14ac:dyDescent="0.2">
      <c r="A518" t="s">
        <v>421</v>
      </c>
      <c r="B518" t="s">
        <v>422</v>
      </c>
      <c r="C518" t="s">
        <v>423</v>
      </c>
      <c r="D518">
        <v>2014</v>
      </c>
      <c r="E518">
        <v>0.51</v>
      </c>
      <c r="F518">
        <v>253</v>
      </c>
      <c r="G518">
        <v>0.54</v>
      </c>
      <c r="H518">
        <v>75</v>
      </c>
      <c r="I518">
        <v>77</v>
      </c>
      <c r="J518" s="10" t="str">
        <f t="shared" si="8"/>
        <v>Slow</v>
      </c>
    </row>
    <row r="519" spans="1:10" outlineLevel="1" x14ac:dyDescent="0.2">
      <c r="A519" t="s">
        <v>551</v>
      </c>
      <c r="B519" t="s">
        <v>433</v>
      </c>
      <c r="C519" t="s">
        <v>434</v>
      </c>
      <c r="D519">
        <v>2015</v>
      </c>
      <c r="E519">
        <v>0.51</v>
      </c>
      <c r="F519">
        <v>264</v>
      </c>
      <c r="G519">
        <v>0.76</v>
      </c>
      <c r="H519">
        <v>100</v>
      </c>
      <c r="I519">
        <v>61</v>
      </c>
      <c r="J519" s="10" t="str">
        <f t="shared" si="8"/>
        <v>Fast</v>
      </c>
    </row>
    <row r="520" spans="1:10" outlineLevel="1" x14ac:dyDescent="0.2">
      <c r="A520" t="s">
        <v>700</v>
      </c>
      <c r="B520" t="s">
        <v>12</v>
      </c>
      <c r="C520" t="s">
        <v>83</v>
      </c>
      <c r="D520">
        <v>2017</v>
      </c>
      <c r="E520">
        <v>0.51</v>
      </c>
      <c r="F520">
        <v>264</v>
      </c>
      <c r="G520">
        <v>0.67</v>
      </c>
      <c r="H520">
        <v>100</v>
      </c>
      <c r="I520">
        <v>54</v>
      </c>
      <c r="J520" s="10" t="str">
        <f t="shared" si="8"/>
        <v>Fast</v>
      </c>
    </row>
    <row r="521" spans="1:10" outlineLevel="1" x14ac:dyDescent="0.2">
      <c r="A521" t="s">
        <v>774</v>
      </c>
      <c r="B521" t="s">
        <v>111</v>
      </c>
      <c r="C521" t="s">
        <v>112</v>
      </c>
      <c r="D521">
        <v>2018</v>
      </c>
      <c r="E521">
        <v>0.51</v>
      </c>
      <c r="F521">
        <v>224</v>
      </c>
      <c r="G521">
        <v>0.64</v>
      </c>
      <c r="H521">
        <v>172</v>
      </c>
      <c r="I521">
        <v>82</v>
      </c>
      <c r="J521" s="10" t="str">
        <f t="shared" si="8"/>
        <v>Fast</v>
      </c>
    </row>
    <row r="522" spans="1:10" outlineLevel="1" x14ac:dyDescent="0.2">
      <c r="A522" t="s">
        <v>822</v>
      </c>
      <c r="B522" t="s">
        <v>343</v>
      </c>
      <c r="C522" t="s">
        <v>51</v>
      </c>
      <c r="D522">
        <v>2019</v>
      </c>
      <c r="E522">
        <v>0.51</v>
      </c>
      <c r="F522">
        <v>206</v>
      </c>
      <c r="G522">
        <v>0.34</v>
      </c>
      <c r="H522">
        <v>102</v>
      </c>
      <c r="I522">
        <v>97</v>
      </c>
      <c r="J522" s="10" t="str">
        <f t="shared" si="8"/>
        <v>Fast</v>
      </c>
    </row>
    <row r="523" spans="1:10" outlineLevel="1" x14ac:dyDescent="0.2">
      <c r="A523" t="s">
        <v>59</v>
      </c>
      <c r="B523" t="s">
        <v>57</v>
      </c>
      <c r="C523" t="s">
        <v>58</v>
      </c>
      <c r="D523">
        <v>2010</v>
      </c>
      <c r="E523">
        <v>0.5</v>
      </c>
      <c r="F523">
        <v>249</v>
      </c>
      <c r="G523">
        <v>0.82</v>
      </c>
      <c r="H523">
        <v>111</v>
      </c>
      <c r="I523">
        <v>62</v>
      </c>
      <c r="J523" s="10" t="str">
        <f t="shared" si="8"/>
        <v>Fast</v>
      </c>
    </row>
    <row r="524" spans="1:10" outlineLevel="1" x14ac:dyDescent="0.2">
      <c r="A524" t="s">
        <v>81</v>
      </c>
      <c r="B524" t="s">
        <v>82</v>
      </c>
      <c r="C524" t="s">
        <v>83</v>
      </c>
      <c r="D524">
        <v>2010</v>
      </c>
      <c r="E524">
        <v>0.5</v>
      </c>
      <c r="F524">
        <v>253</v>
      </c>
      <c r="G524">
        <v>0.81</v>
      </c>
      <c r="H524">
        <v>150</v>
      </c>
      <c r="I524">
        <v>58</v>
      </c>
      <c r="J524" s="10" t="str">
        <f t="shared" si="8"/>
        <v>Fast</v>
      </c>
    </row>
    <row r="525" spans="1:10" outlineLevel="1" x14ac:dyDescent="0.2">
      <c r="A525" t="s">
        <v>191</v>
      </c>
      <c r="B525" t="s">
        <v>190</v>
      </c>
      <c r="C525" t="s">
        <v>51</v>
      </c>
      <c r="D525">
        <v>2011</v>
      </c>
      <c r="E525">
        <v>0.5</v>
      </c>
      <c r="F525">
        <v>279</v>
      </c>
      <c r="G525">
        <v>0.88</v>
      </c>
      <c r="H525">
        <v>130</v>
      </c>
      <c r="I525">
        <v>28</v>
      </c>
      <c r="J525" s="10" t="str">
        <f t="shared" si="8"/>
        <v>Fast</v>
      </c>
    </row>
    <row r="526" spans="1:10" outlineLevel="1" x14ac:dyDescent="0.2">
      <c r="A526" t="s">
        <v>272</v>
      </c>
      <c r="B526" t="s">
        <v>273</v>
      </c>
      <c r="C526" t="s">
        <v>51</v>
      </c>
      <c r="D526">
        <v>2013</v>
      </c>
      <c r="E526">
        <v>0.5</v>
      </c>
      <c r="F526">
        <v>211</v>
      </c>
      <c r="G526">
        <v>0.79</v>
      </c>
      <c r="H526">
        <v>174</v>
      </c>
      <c r="I526">
        <v>76</v>
      </c>
      <c r="J526" s="10" t="str">
        <f t="shared" si="8"/>
        <v>Fast</v>
      </c>
    </row>
    <row r="527" spans="1:10" outlineLevel="1" x14ac:dyDescent="0.2">
      <c r="A527" t="s">
        <v>384</v>
      </c>
      <c r="B527" t="s">
        <v>273</v>
      </c>
      <c r="C527" t="s">
        <v>51</v>
      </c>
      <c r="D527">
        <v>2014</v>
      </c>
      <c r="E527">
        <v>0.5</v>
      </c>
      <c r="F527">
        <v>226</v>
      </c>
      <c r="G527">
        <v>0.66</v>
      </c>
      <c r="H527">
        <v>140</v>
      </c>
      <c r="I527">
        <v>63</v>
      </c>
      <c r="J527" s="10" t="str">
        <f t="shared" si="8"/>
        <v>Fast</v>
      </c>
    </row>
    <row r="528" spans="1:10" outlineLevel="1" x14ac:dyDescent="0.2">
      <c r="A528" t="s">
        <v>385</v>
      </c>
      <c r="B528" t="s">
        <v>386</v>
      </c>
      <c r="C528" t="s">
        <v>387</v>
      </c>
      <c r="D528">
        <v>2014</v>
      </c>
      <c r="E528">
        <v>0.5</v>
      </c>
      <c r="F528">
        <v>256</v>
      </c>
      <c r="G528">
        <v>0.73</v>
      </c>
      <c r="H528">
        <v>122</v>
      </c>
      <c r="I528">
        <v>72</v>
      </c>
      <c r="J528" s="10" t="str">
        <f t="shared" si="8"/>
        <v>Fast</v>
      </c>
    </row>
    <row r="529" spans="1:10" outlineLevel="1" x14ac:dyDescent="0.2">
      <c r="A529" t="s">
        <v>398</v>
      </c>
      <c r="B529" t="s">
        <v>399</v>
      </c>
      <c r="C529" t="s">
        <v>63</v>
      </c>
      <c r="D529">
        <v>2014</v>
      </c>
      <c r="E529">
        <v>0.5</v>
      </c>
      <c r="F529">
        <v>240</v>
      </c>
      <c r="G529">
        <v>0.89</v>
      </c>
      <c r="H529">
        <v>126</v>
      </c>
      <c r="I529">
        <v>73</v>
      </c>
      <c r="J529" s="10" t="str">
        <f t="shared" si="8"/>
        <v>Fast</v>
      </c>
    </row>
    <row r="530" spans="1:10" outlineLevel="1" x14ac:dyDescent="0.2">
      <c r="A530" t="s">
        <v>620</v>
      </c>
      <c r="B530" t="s">
        <v>621</v>
      </c>
      <c r="C530" t="s">
        <v>101</v>
      </c>
      <c r="D530">
        <v>2016</v>
      </c>
      <c r="E530">
        <v>0.5</v>
      </c>
      <c r="F530">
        <v>196</v>
      </c>
      <c r="G530">
        <v>0.52</v>
      </c>
      <c r="H530">
        <v>134</v>
      </c>
      <c r="I530">
        <v>81</v>
      </c>
      <c r="J530" s="10" t="str">
        <f t="shared" si="8"/>
        <v>Fast</v>
      </c>
    </row>
    <row r="531" spans="1:10" outlineLevel="1" x14ac:dyDescent="0.2">
      <c r="A531" t="s">
        <v>807</v>
      </c>
      <c r="B531" t="s">
        <v>808</v>
      </c>
      <c r="C531" t="s">
        <v>63</v>
      </c>
      <c r="D531">
        <v>2019</v>
      </c>
      <c r="E531">
        <v>0.5</v>
      </c>
      <c r="F531">
        <v>182</v>
      </c>
      <c r="G531">
        <v>0.41</v>
      </c>
      <c r="H531">
        <v>110</v>
      </c>
      <c r="I531">
        <v>96</v>
      </c>
      <c r="J531" s="10" t="str">
        <f t="shared" si="8"/>
        <v>Fast</v>
      </c>
    </row>
    <row r="532" spans="1:10" outlineLevel="1" x14ac:dyDescent="0.2">
      <c r="A532" t="s">
        <v>356</v>
      </c>
      <c r="B532" t="s">
        <v>357</v>
      </c>
      <c r="C532" t="s">
        <v>237</v>
      </c>
      <c r="D532">
        <v>2014</v>
      </c>
      <c r="E532">
        <v>0.49</v>
      </c>
      <c r="F532">
        <v>202</v>
      </c>
      <c r="G532">
        <v>0.95</v>
      </c>
      <c r="H532">
        <v>160</v>
      </c>
      <c r="I532">
        <v>71</v>
      </c>
      <c r="J532" s="10" t="str">
        <f t="shared" si="8"/>
        <v>Fast</v>
      </c>
    </row>
    <row r="533" spans="1:10" outlineLevel="1" x14ac:dyDescent="0.2">
      <c r="A533" t="s">
        <v>499</v>
      </c>
      <c r="B533" t="s">
        <v>231</v>
      </c>
      <c r="C533" t="s">
        <v>51</v>
      </c>
      <c r="D533">
        <v>2015</v>
      </c>
      <c r="E533">
        <v>0.49</v>
      </c>
      <c r="F533">
        <v>199</v>
      </c>
      <c r="G533">
        <v>0.8</v>
      </c>
      <c r="H533">
        <v>149</v>
      </c>
      <c r="I533">
        <v>69</v>
      </c>
      <c r="J533" s="10" t="str">
        <f t="shared" si="8"/>
        <v>Fast</v>
      </c>
    </row>
    <row r="534" spans="1:10" outlineLevel="1" x14ac:dyDescent="0.2">
      <c r="A534" t="s">
        <v>56</v>
      </c>
      <c r="B534" t="s">
        <v>57</v>
      </c>
      <c r="C534" t="s">
        <v>58</v>
      </c>
      <c r="D534">
        <v>2010</v>
      </c>
      <c r="E534">
        <v>0.48</v>
      </c>
      <c r="F534">
        <v>216</v>
      </c>
      <c r="G534">
        <v>0.37</v>
      </c>
      <c r="H534">
        <v>93</v>
      </c>
      <c r="I534">
        <v>76</v>
      </c>
      <c r="J534" s="10" t="str">
        <f t="shared" si="8"/>
        <v>Slow</v>
      </c>
    </row>
    <row r="535" spans="1:10" outlineLevel="1" x14ac:dyDescent="0.2">
      <c r="A535" t="s">
        <v>104</v>
      </c>
      <c r="B535" t="s">
        <v>105</v>
      </c>
      <c r="C535" t="s">
        <v>106</v>
      </c>
      <c r="D535">
        <v>2010</v>
      </c>
      <c r="E535">
        <v>0.48</v>
      </c>
      <c r="F535">
        <v>212</v>
      </c>
      <c r="G535">
        <v>0.83</v>
      </c>
      <c r="H535">
        <v>148</v>
      </c>
      <c r="I535">
        <v>65</v>
      </c>
      <c r="J535" s="10" t="str">
        <f t="shared" si="8"/>
        <v>Fast</v>
      </c>
    </row>
    <row r="536" spans="1:10" outlineLevel="1" x14ac:dyDescent="0.2">
      <c r="A536" t="s">
        <v>99</v>
      </c>
      <c r="B536" t="s">
        <v>141</v>
      </c>
      <c r="C536" t="s">
        <v>142</v>
      </c>
      <c r="D536">
        <v>2015</v>
      </c>
      <c r="E536">
        <v>0.48</v>
      </c>
      <c r="F536">
        <v>295</v>
      </c>
      <c r="G536">
        <v>0.45</v>
      </c>
      <c r="H536">
        <v>158</v>
      </c>
      <c r="I536">
        <v>73</v>
      </c>
      <c r="J536" s="10" t="str">
        <f t="shared" si="8"/>
        <v>Fast</v>
      </c>
    </row>
    <row r="537" spans="1:10" outlineLevel="1" x14ac:dyDescent="0.2">
      <c r="A537" t="s">
        <v>462</v>
      </c>
      <c r="B537" t="s">
        <v>6</v>
      </c>
      <c r="C537" t="s">
        <v>63</v>
      </c>
      <c r="D537">
        <v>2015</v>
      </c>
      <c r="E537">
        <v>0.48</v>
      </c>
      <c r="F537">
        <v>309</v>
      </c>
      <c r="G537">
        <v>0.59</v>
      </c>
      <c r="H537">
        <v>89</v>
      </c>
      <c r="I537">
        <v>52</v>
      </c>
      <c r="J537" s="10" t="str">
        <f t="shared" si="8"/>
        <v>Slow</v>
      </c>
    </row>
    <row r="538" spans="1:10" outlineLevel="1" x14ac:dyDescent="0.2">
      <c r="A538" t="s">
        <v>466</v>
      </c>
      <c r="B538" t="s">
        <v>284</v>
      </c>
      <c r="C538" t="s">
        <v>51</v>
      </c>
      <c r="D538">
        <v>2015</v>
      </c>
      <c r="E538">
        <v>0.48</v>
      </c>
      <c r="F538">
        <v>193</v>
      </c>
      <c r="G538">
        <v>0.39</v>
      </c>
      <c r="H538">
        <v>202</v>
      </c>
      <c r="I538">
        <v>0</v>
      </c>
      <c r="J538" s="10" t="str">
        <f t="shared" si="8"/>
        <v>Fast</v>
      </c>
    </row>
    <row r="539" spans="1:10" outlineLevel="1" x14ac:dyDescent="0.2">
      <c r="A539" t="s">
        <v>748</v>
      </c>
      <c r="B539" t="s">
        <v>73</v>
      </c>
      <c r="C539" t="s">
        <v>74</v>
      </c>
      <c r="D539">
        <v>2018</v>
      </c>
      <c r="E539">
        <v>0.48</v>
      </c>
      <c r="F539">
        <v>304</v>
      </c>
      <c r="G539">
        <v>0.44</v>
      </c>
      <c r="H539">
        <v>82</v>
      </c>
      <c r="I539">
        <v>65</v>
      </c>
      <c r="J539" s="10" t="str">
        <f t="shared" si="8"/>
        <v>Slow</v>
      </c>
    </row>
    <row r="540" spans="1:10" outlineLevel="1" x14ac:dyDescent="0.2">
      <c r="A540" t="s">
        <v>821</v>
      </c>
      <c r="B540" t="s">
        <v>429</v>
      </c>
      <c r="C540" t="s">
        <v>63</v>
      </c>
      <c r="D540">
        <v>2019</v>
      </c>
      <c r="E540">
        <v>0.48</v>
      </c>
      <c r="F540">
        <v>202</v>
      </c>
      <c r="G540">
        <v>0.68</v>
      </c>
      <c r="H540">
        <v>111</v>
      </c>
      <c r="I540">
        <v>93</v>
      </c>
      <c r="J540" s="10" t="str">
        <f t="shared" si="8"/>
        <v>Fast</v>
      </c>
    </row>
    <row r="541" spans="1:10" outlineLevel="1" x14ac:dyDescent="0.2">
      <c r="A541" t="s">
        <v>259</v>
      </c>
      <c r="B541" t="s">
        <v>145</v>
      </c>
      <c r="C541" t="s">
        <v>86</v>
      </c>
      <c r="D541">
        <v>2013</v>
      </c>
      <c r="E541">
        <v>0.47</v>
      </c>
      <c r="F541">
        <v>207</v>
      </c>
      <c r="G541">
        <v>0.96</v>
      </c>
      <c r="H541">
        <v>184</v>
      </c>
      <c r="I541">
        <v>61</v>
      </c>
      <c r="J541" s="10" t="str">
        <f t="shared" si="8"/>
        <v>Fast</v>
      </c>
    </row>
    <row r="542" spans="1:10" outlineLevel="1" x14ac:dyDescent="0.2">
      <c r="A542" t="s">
        <v>326</v>
      </c>
      <c r="B542" t="s">
        <v>105</v>
      </c>
      <c r="C542" t="s">
        <v>106</v>
      </c>
      <c r="D542">
        <v>2013</v>
      </c>
      <c r="E542">
        <v>0.47</v>
      </c>
      <c r="F542">
        <v>177</v>
      </c>
      <c r="G542">
        <v>0.92</v>
      </c>
      <c r="H542">
        <v>155</v>
      </c>
      <c r="I542">
        <v>74</v>
      </c>
      <c r="J542" s="10" t="str">
        <f t="shared" si="8"/>
        <v>Fast</v>
      </c>
    </row>
    <row r="543" spans="1:10" outlineLevel="1" x14ac:dyDescent="0.2">
      <c r="A543" t="s">
        <v>368</v>
      </c>
      <c r="B543" t="s">
        <v>147</v>
      </c>
      <c r="C543" t="s">
        <v>51</v>
      </c>
      <c r="D543">
        <v>2014</v>
      </c>
      <c r="E543">
        <v>0.47</v>
      </c>
      <c r="F543">
        <v>216</v>
      </c>
      <c r="G543">
        <v>0.79</v>
      </c>
      <c r="H543">
        <v>170</v>
      </c>
      <c r="I543">
        <v>56</v>
      </c>
      <c r="J543" s="10" t="str">
        <f t="shared" si="8"/>
        <v>Fast</v>
      </c>
    </row>
    <row r="544" spans="1:10" outlineLevel="1" x14ac:dyDescent="0.2">
      <c r="A544" t="s">
        <v>370</v>
      </c>
      <c r="B544" t="s">
        <v>371</v>
      </c>
      <c r="C544" t="s">
        <v>136</v>
      </c>
      <c r="D544">
        <v>2014</v>
      </c>
      <c r="E544">
        <v>0.47</v>
      </c>
      <c r="F544">
        <v>252</v>
      </c>
      <c r="G544">
        <v>0.71</v>
      </c>
      <c r="H544">
        <v>83</v>
      </c>
      <c r="I544">
        <v>62</v>
      </c>
      <c r="J544" s="10" t="str">
        <f t="shared" si="8"/>
        <v>Slow</v>
      </c>
    </row>
    <row r="545" spans="1:10" outlineLevel="1" x14ac:dyDescent="0.2">
      <c r="A545" t="s">
        <v>445</v>
      </c>
      <c r="B545" t="s">
        <v>20</v>
      </c>
      <c r="C545" t="s">
        <v>51</v>
      </c>
      <c r="D545">
        <v>2015</v>
      </c>
      <c r="E545">
        <v>0.47</v>
      </c>
      <c r="F545">
        <v>236</v>
      </c>
      <c r="G545">
        <v>0.71</v>
      </c>
      <c r="H545">
        <v>99</v>
      </c>
      <c r="I545">
        <v>76</v>
      </c>
      <c r="J545" s="10" t="str">
        <f t="shared" si="8"/>
        <v>Slow</v>
      </c>
    </row>
    <row r="546" spans="1:10" outlineLevel="1" x14ac:dyDescent="0.2">
      <c r="A546" t="s">
        <v>485</v>
      </c>
      <c r="B546" t="s">
        <v>165</v>
      </c>
      <c r="C546" t="s">
        <v>51</v>
      </c>
      <c r="D546">
        <v>2015</v>
      </c>
      <c r="E546">
        <v>0.47</v>
      </c>
      <c r="F546">
        <v>292</v>
      </c>
      <c r="G546">
        <v>0.6</v>
      </c>
      <c r="H546">
        <v>156</v>
      </c>
      <c r="I546">
        <v>55</v>
      </c>
      <c r="J546" s="10" t="str">
        <f t="shared" si="8"/>
        <v>Fast</v>
      </c>
    </row>
    <row r="547" spans="1:10" outlineLevel="1" x14ac:dyDescent="0.2">
      <c r="A547" t="s">
        <v>531</v>
      </c>
      <c r="B547" t="s">
        <v>236</v>
      </c>
      <c r="C547" t="s">
        <v>237</v>
      </c>
      <c r="D547">
        <v>2015</v>
      </c>
      <c r="E547">
        <v>0.47</v>
      </c>
      <c r="F547">
        <v>227</v>
      </c>
      <c r="G547">
        <v>0.76</v>
      </c>
      <c r="H547">
        <v>77</v>
      </c>
      <c r="I547">
        <v>51</v>
      </c>
      <c r="J547" s="10" t="str">
        <f t="shared" si="8"/>
        <v>Slow</v>
      </c>
    </row>
    <row r="548" spans="1:10" outlineLevel="1" x14ac:dyDescent="0.2">
      <c r="A548" t="s">
        <v>642</v>
      </c>
      <c r="B548" t="s">
        <v>16</v>
      </c>
      <c r="C548" t="s">
        <v>86</v>
      </c>
      <c r="D548">
        <v>2016</v>
      </c>
      <c r="E548">
        <v>0.47</v>
      </c>
      <c r="F548">
        <v>216</v>
      </c>
      <c r="G548">
        <v>0.34</v>
      </c>
      <c r="H548">
        <v>175</v>
      </c>
      <c r="I548">
        <v>65</v>
      </c>
      <c r="J548" s="10" t="str">
        <f t="shared" si="8"/>
        <v>Fast</v>
      </c>
    </row>
    <row r="549" spans="1:10" outlineLevel="1" x14ac:dyDescent="0.2">
      <c r="A549" t="s">
        <v>737</v>
      </c>
      <c r="B549" t="s">
        <v>738</v>
      </c>
      <c r="C549" t="s">
        <v>739</v>
      </c>
      <c r="D549">
        <v>2018</v>
      </c>
      <c r="E549">
        <v>0.47</v>
      </c>
      <c r="F549">
        <v>196</v>
      </c>
      <c r="G549">
        <v>0.59</v>
      </c>
      <c r="H549">
        <v>86</v>
      </c>
      <c r="I549">
        <v>76</v>
      </c>
      <c r="J549" s="10" t="str">
        <f t="shared" si="8"/>
        <v>Slow</v>
      </c>
    </row>
    <row r="550" spans="1:10" outlineLevel="1" x14ac:dyDescent="0.2">
      <c r="A550" t="s">
        <v>791</v>
      </c>
      <c r="B550" t="s">
        <v>655</v>
      </c>
      <c r="C550" t="s">
        <v>51</v>
      </c>
      <c r="D550">
        <v>2018</v>
      </c>
      <c r="E550">
        <v>0.46</v>
      </c>
      <c r="F550">
        <v>185</v>
      </c>
      <c r="G550">
        <v>0.56999999999999995</v>
      </c>
      <c r="H550">
        <v>168</v>
      </c>
      <c r="I550">
        <v>72</v>
      </c>
      <c r="J550" s="10" t="str">
        <f t="shared" si="8"/>
        <v>Fast</v>
      </c>
    </row>
    <row r="551" spans="1:10" outlineLevel="1" x14ac:dyDescent="0.2">
      <c r="A551" t="s">
        <v>121</v>
      </c>
      <c r="B551" t="s">
        <v>122</v>
      </c>
      <c r="C551" t="s">
        <v>123</v>
      </c>
      <c r="D551">
        <v>2010</v>
      </c>
      <c r="E551">
        <v>0.45</v>
      </c>
      <c r="F551">
        <v>329</v>
      </c>
      <c r="G551">
        <v>0.86</v>
      </c>
      <c r="H551">
        <v>80</v>
      </c>
      <c r="I551">
        <v>49</v>
      </c>
      <c r="J551" s="10" t="str">
        <f t="shared" si="8"/>
        <v>Slow</v>
      </c>
    </row>
    <row r="552" spans="1:10" outlineLevel="1" x14ac:dyDescent="0.2">
      <c r="A552" t="s">
        <v>121</v>
      </c>
      <c r="B552" t="s">
        <v>122</v>
      </c>
      <c r="C552" t="s">
        <v>123</v>
      </c>
      <c r="D552">
        <v>2011</v>
      </c>
      <c r="E552">
        <v>0.45</v>
      </c>
      <c r="F552">
        <v>329</v>
      </c>
      <c r="G552">
        <v>0.86</v>
      </c>
      <c r="H552">
        <v>80</v>
      </c>
      <c r="I552">
        <v>49</v>
      </c>
      <c r="J552" s="10" t="str">
        <f t="shared" si="8"/>
        <v>Slow</v>
      </c>
    </row>
    <row r="553" spans="1:10" outlineLevel="1" x14ac:dyDescent="0.2">
      <c r="A553" t="s">
        <v>212</v>
      </c>
      <c r="B553" t="s">
        <v>213</v>
      </c>
      <c r="C553" t="s">
        <v>214</v>
      </c>
      <c r="D553">
        <v>2012</v>
      </c>
      <c r="E553">
        <v>0.45</v>
      </c>
      <c r="F553">
        <v>279</v>
      </c>
      <c r="G553">
        <v>0.59</v>
      </c>
      <c r="H553">
        <v>140</v>
      </c>
      <c r="I553">
        <v>79</v>
      </c>
      <c r="J553" s="10" t="str">
        <f t="shared" si="8"/>
        <v>Fast</v>
      </c>
    </row>
    <row r="554" spans="1:10" outlineLevel="1" x14ac:dyDescent="0.2">
      <c r="A554" t="s">
        <v>279</v>
      </c>
      <c r="B554" t="s">
        <v>280</v>
      </c>
      <c r="C554" t="s">
        <v>51</v>
      </c>
      <c r="D554">
        <v>2013</v>
      </c>
      <c r="E554">
        <v>0.45</v>
      </c>
      <c r="F554">
        <v>221</v>
      </c>
      <c r="G554">
        <v>0.23</v>
      </c>
      <c r="H554">
        <v>130</v>
      </c>
      <c r="I554">
        <v>60</v>
      </c>
      <c r="J554" s="10" t="str">
        <f t="shared" si="8"/>
        <v>Fast</v>
      </c>
    </row>
    <row r="555" spans="1:10" outlineLevel="1" x14ac:dyDescent="0.2">
      <c r="A555" t="s">
        <v>358</v>
      </c>
      <c r="B555" t="s">
        <v>359</v>
      </c>
      <c r="C555" t="s">
        <v>136</v>
      </c>
      <c r="D555">
        <v>2014</v>
      </c>
      <c r="E555">
        <v>0.45</v>
      </c>
      <c r="F555">
        <v>229</v>
      </c>
      <c r="G555">
        <v>0.15</v>
      </c>
      <c r="H555">
        <v>138</v>
      </c>
      <c r="I555">
        <v>61</v>
      </c>
      <c r="J555" s="10" t="str">
        <f t="shared" si="8"/>
        <v>Fast</v>
      </c>
    </row>
    <row r="556" spans="1:10" outlineLevel="1" x14ac:dyDescent="0.2">
      <c r="A556" t="s">
        <v>691</v>
      </c>
      <c r="B556" t="s">
        <v>10</v>
      </c>
      <c r="C556" t="s">
        <v>51</v>
      </c>
      <c r="D556">
        <v>2017</v>
      </c>
      <c r="E556">
        <v>0.45</v>
      </c>
      <c r="F556">
        <v>238</v>
      </c>
      <c r="G556">
        <v>0.8</v>
      </c>
      <c r="H556">
        <v>190</v>
      </c>
      <c r="I556">
        <v>72</v>
      </c>
      <c r="J556" s="10" t="str">
        <f t="shared" si="8"/>
        <v>Fast</v>
      </c>
    </row>
    <row r="557" spans="1:10" outlineLevel="1" x14ac:dyDescent="0.2">
      <c r="A557" t="s">
        <v>52</v>
      </c>
      <c r="B557" t="s">
        <v>53</v>
      </c>
      <c r="C557" t="s">
        <v>54</v>
      </c>
      <c r="D557">
        <v>2010</v>
      </c>
      <c r="E557">
        <v>0.44</v>
      </c>
      <c r="F557">
        <v>227</v>
      </c>
      <c r="G557">
        <v>0.68</v>
      </c>
      <c r="H557">
        <v>186</v>
      </c>
      <c r="I557">
        <v>66</v>
      </c>
      <c r="J557" s="10" t="str">
        <f t="shared" si="8"/>
        <v>Fast</v>
      </c>
    </row>
    <row r="558" spans="1:10" outlineLevel="1" x14ac:dyDescent="0.2">
      <c r="A558" t="s">
        <v>77</v>
      </c>
      <c r="B558" t="s">
        <v>78</v>
      </c>
      <c r="C558" t="s">
        <v>51</v>
      </c>
      <c r="D558">
        <v>2010</v>
      </c>
      <c r="E558">
        <v>0.44</v>
      </c>
      <c r="F558">
        <v>217</v>
      </c>
      <c r="G558">
        <v>0.84</v>
      </c>
      <c r="H558">
        <v>125</v>
      </c>
      <c r="I558">
        <v>72</v>
      </c>
      <c r="J558" s="10" t="str">
        <f t="shared" si="8"/>
        <v>Fast</v>
      </c>
    </row>
    <row r="559" spans="1:10" outlineLevel="1" x14ac:dyDescent="0.2">
      <c r="A559" t="s">
        <v>381</v>
      </c>
      <c r="B559" t="s">
        <v>158</v>
      </c>
      <c r="C559" t="s">
        <v>51</v>
      </c>
      <c r="D559">
        <v>2014</v>
      </c>
      <c r="E559">
        <v>0.44</v>
      </c>
      <c r="F559">
        <v>251</v>
      </c>
      <c r="G559">
        <v>0.49</v>
      </c>
      <c r="H559">
        <v>144</v>
      </c>
      <c r="I559">
        <v>68</v>
      </c>
      <c r="J559" s="10" t="str">
        <f t="shared" si="8"/>
        <v>Fast</v>
      </c>
    </row>
    <row r="560" spans="1:10" outlineLevel="1" x14ac:dyDescent="0.2">
      <c r="A560" t="s">
        <v>717</v>
      </c>
      <c r="B560" t="s">
        <v>16</v>
      </c>
      <c r="C560" t="s">
        <v>86</v>
      </c>
      <c r="D560">
        <v>2017</v>
      </c>
      <c r="E560">
        <v>0.44</v>
      </c>
      <c r="F560">
        <v>188</v>
      </c>
      <c r="G560">
        <v>0.82</v>
      </c>
      <c r="H560">
        <v>83</v>
      </c>
      <c r="I560">
        <v>84</v>
      </c>
      <c r="J560" s="10" t="str">
        <f t="shared" si="8"/>
        <v>Slow</v>
      </c>
    </row>
    <row r="561" spans="1:10" outlineLevel="1" x14ac:dyDescent="0.2">
      <c r="A561" t="s">
        <v>680</v>
      </c>
      <c r="B561" t="s">
        <v>213</v>
      </c>
      <c r="C561" t="s">
        <v>214</v>
      </c>
      <c r="D561">
        <v>2017</v>
      </c>
      <c r="E561">
        <v>0.43</v>
      </c>
      <c r="F561">
        <v>282</v>
      </c>
      <c r="G561">
        <v>0.88</v>
      </c>
      <c r="H561">
        <v>148</v>
      </c>
      <c r="I561">
        <v>41</v>
      </c>
      <c r="J561" s="10" t="str">
        <f t="shared" si="8"/>
        <v>Fast</v>
      </c>
    </row>
    <row r="562" spans="1:10" outlineLevel="1" x14ac:dyDescent="0.2">
      <c r="A562" t="s">
        <v>157</v>
      </c>
      <c r="B562" t="s">
        <v>158</v>
      </c>
      <c r="C562" t="s">
        <v>51</v>
      </c>
      <c r="D562">
        <v>2011</v>
      </c>
      <c r="E562">
        <v>0.42</v>
      </c>
      <c r="F562">
        <v>285</v>
      </c>
      <c r="G562">
        <v>0.41</v>
      </c>
      <c r="H562">
        <v>139</v>
      </c>
      <c r="I562">
        <v>81</v>
      </c>
      <c r="J562" s="10" t="str">
        <f t="shared" si="8"/>
        <v>Fast</v>
      </c>
    </row>
    <row r="563" spans="1:10" outlineLevel="1" x14ac:dyDescent="0.2">
      <c r="A563" t="s">
        <v>346</v>
      </c>
      <c r="B563" t="s">
        <v>347</v>
      </c>
      <c r="C563" t="s">
        <v>348</v>
      </c>
      <c r="D563">
        <v>2013</v>
      </c>
      <c r="E563">
        <v>0.42</v>
      </c>
      <c r="F563">
        <v>203</v>
      </c>
      <c r="G563">
        <v>0.87</v>
      </c>
      <c r="H563">
        <v>85</v>
      </c>
      <c r="I563">
        <v>80</v>
      </c>
      <c r="J563" s="10" t="str">
        <f t="shared" si="8"/>
        <v>Slow</v>
      </c>
    </row>
    <row r="564" spans="1:10" outlineLevel="1" x14ac:dyDescent="0.2">
      <c r="A564" t="s">
        <v>396</v>
      </c>
      <c r="B564" t="s">
        <v>397</v>
      </c>
      <c r="C564" t="s">
        <v>136</v>
      </c>
      <c r="D564">
        <v>2014</v>
      </c>
      <c r="E564">
        <v>0.42</v>
      </c>
      <c r="F564">
        <v>270</v>
      </c>
      <c r="G564">
        <v>0.26</v>
      </c>
      <c r="H564">
        <v>120</v>
      </c>
      <c r="I564">
        <v>86</v>
      </c>
      <c r="J564" s="10" t="str">
        <f t="shared" si="8"/>
        <v>Fast</v>
      </c>
    </row>
    <row r="565" spans="1:10" outlineLevel="1" x14ac:dyDescent="0.2">
      <c r="A565" t="s">
        <v>428</v>
      </c>
      <c r="B565" t="s">
        <v>429</v>
      </c>
      <c r="C565" t="s">
        <v>63</v>
      </c>
      <c r="D565">
        <v>2014</v>
      </c>
      <c r="E565">
        <v>0.42</v>
      </c>
      <c r="F565">
        <v>173</v>
      </c>
      <c r="G565">
        <v>0.42</v>
      </c>
      <c r="H565">
        <v>84</v>
      </c>
      <c r="I565">
        <v>85</v>
      </c>
      <c r="J565" s="10" t="str">
        <f t="shared" si="8"/>
        <v>Slow</v>
      </c>
    </row>
    <row r="566" spans="1:10" outlineLevel="1" x14ac:dyDescent="0.2">
      <c r="A566" t="s">
        <v>550</v>
      </c>
      <c r="B566" t="s">
        <v>433</v>
      </c>
      <c r="C566" t="s">
        <v>434</v>
      </c>
      <c r="D566">
        <v>2015</v>
      </c>
      <c r="E566">
        <v>0.42</v>
      </c>
      <c r="F566">
        <v>257</v>
      </c>
      <c r="G566">
        <v>0.79</v>
      </c>
      <c r="H566">
        <v>130</v>
      </c>
      <c r="I566">
        <v>73</v>
      </c>
      <c r="J566" s="10" t="str">
        <f t="shared" si="8"/>
        <v>Fast</v>
      </c>
    </row>
    <row r="567" spans="1:10" outlineLevel="1" x14ac:dyDescent="0.2">
      <c r="A567" t="s">
        <v>367</v>
      </c>
      <c r="B567" t="s">
        <v>147</v>
      </c>
      <c r="C567" t="s">
        <v>51</v>
      </c>
      <c r="D567">
        <v>2014</v>
      </c>
      <c r="E567">
        <v>0.41</v>
      </c>
      <c r="F567">
        <v>319</v>
      </c>
      <c r="G567">
        <v>0.44</v>
      </c>
      <c r="H567">
        <v>186</v>
      </c>
      <c r="I567">
        <v>65</v>
      </c>
      <c r="J567" s="10" t="str">
        <f t="shared" si="8"/>
        <v>Fast</v>
      </c>
    </row>
    <row r="568" spans="1:10" outlineLevel="1" x14ac:dyDescent="0.2">
      <c r="A568" t="s">
        <v>372</v>
      </c>
      <c r="B568" t="s">
        <v>371</v>
      </c>
      <c r="C568" t="s">
        <v>136</v>
      </c>
      <c r="D568">
        <v>2014</v>
      </c>
      <c r="E568">
        <v>0.41</v>
      </c>
      <c r="F568">
        <v>190</v>
      </c>
      <c r="G568">
        <v>0.14000000000000001</v>
      </c>
      <c r="H568">
        <v>116</v>
      </c>
      <c r="I568">
        <v>56</v>
      </c>
      <c r="J568" s="10" t="str">
        <f t="shared" si="8"/>
        <v>Fast</v>
      </c>
    </row>
    <row r="569" spans="1:10" outlineLevel="1" x14ac:dyDescent="0.2">
      <c r="A569" t="s">
        <v>450</v>
      </c>
      <c r="B569" t="s">
        <v>26</v>
      </c>
      <c r="C569" t="s">
        <v>51</v>
      </c>
      <c r="D569">
        <v>2015</v>
      </c>
      <c r="E569">
        <v>0.41</v>
      </c>
      <c r="F569">
        <v>213</v>
      </c>
      <c r="G569">
        <v>0.86</v>
      </c>
      <c r="H569">
        <v>128</v>
      </c>
      <c r="I569">
        <v>76</v>
      </c>
      <c r="J569" s="10" t="str">
        <f t="shared" si="8"/>
        <v>Fast</v>
      </c>
    </row>
    <row r="570" spans="1:10" outlineLevel="1" x14ac:dyDescent="0.2">
      <c r="A570" t="s">
        <v>712</v>
      </c>
      <c r="B570" t="s">
        <v>108</v>
      </c>
      <c r="C570" t="s">
        <v>51</v>
      </c>
      <c r="D570">
        <v>2017</v>
      </c>
      <c r="E570">
        <v>0.4</v>
      </c>
      <c r="F570">
        <v>201</v>
      </c>
      <c r="G570">
        <v>0.87</v>
      </c>
      <c r="H570">
        <v>105</v>
      </c>
      <c r="I570">
        <v>70</v>
      </c>
      <c r="J570" s="10" t="str">
        <f t="shared" si="8"/>
        <v>Fast</v>
      </c>
    </row>
    <row r="571" spans="1:10" outlineLevel="1" x14ac:dyDescent="0.2">
      <c r="A571" t="s">
        <v>541</v>
      </c>
      <c r="B571" t="s">
        <v>111</v>
      </c>
      <c r="C571" t="s">
        <v>112</v>
      </c>
      <c r="D571">
        <v>2015</v>
      </c>
      <c r="E571">
        <v>0.39</v>
      </c>
      <c r="F571">
        <v>320</v>
      </c>
      <c r="G571">
        <v>0.75</v>
      </c>
      <c r="H571">
        <v>78</v>
      </c>
      <c r="I571">
        <v>61</v>
      </c>
      <c r="J571" s="10" t="str">
        <f t="shared" si="8"/>
        <v>Slow</v>
      </c>
    </row>
    <row r="572" spans="1:10" outlineLevel="1" x14ac:dyDescent="0.2">
      <c r="A572" t="s">
        <v>636</v>
      </c>
      <c r="B572" t="s">
        <v>422</v>
      </c>
      <c r="C572" t="s">
        <v>423</v>
      </c>
      <c r="D572">
        <v>2016</v>
      </c>
      <c r="E572">
        <v>0.39</v>
      </c>
      <c r="F572">
        <v>214</v>
      </c>
      <c r="G572">
        <v>0.17</v>
      </c>
      <c r="H572">
        <v>86</v>
      </c>
      <c r="I572">
        <v>36</v>
      </c>
      <c r="J572" s="10" t="str">
        <f t="shared" si="8"/>
        <v>Slow</v>
      </c>
    </row>
    <row r="573" spans="1:10" outlineLevel="1" x14ac:dyDescent="0.2">
      <c r="A573" t="s">
        <v>770</v>
      </c>
      <c r="B573" t="s">
        <v>195</v>
      </c>
      <c r="C573" t="s">
        <v>51</v>
      </c>
      <c r="D573">
        <v>2018</v>
      </c>
      <c r="E573">
        <v>0.39</v>
      </c>
      <c r="F573">
        <v>272</v>
      </c>
      <c r="G573">
        <v>0.59</v>
      </c>
      <c r="H573">
        <v>114</v>
      </c>
      <c r="I573">
        <v>66</v>
      </c>
      <c r="J573" s="10" t="str">
        <f t="shared" si="8"/>
        <v>Fast</v>
      </c>
    </row>
    <row r="574" spans="1:10" outlineLevel="1" x14ac:dyDescent="0.2">
      <c r="A574" t="s">
        <v>220</v>
      </c>
      <c r="B574" t="s">
        <v>22</v>
      </c>
      <c r="C574" t="s">
        <v>219</v>
      </c>
      <c r="D574">
        <v>2012</v>
      </c>
      <c r="E574">
        <v>0.38</v>
      </c>
      <c r="F574">
        <v>251</v>
      </c>
      <c r="G574">
        <v>0.64</v>
      </c>
      <c r="H574">
        <v>184</v>
      </c>
      <c r="I574">
        <v>63</v>
      </c>
      <c r="J574" s="10" t="str">
        <f t="shared" si="8"/>
        <v>Fast</v>
      </c>
    </row>
    <row r="575" spans="1:10" outlineLevel="1" x14ac:dyDescent="0.2">
      <c r="A575" t="s">
        <v>288</v>
      </c>
      <c r="B575" t="s">
        <v>289</v>
      </c>
      <c r="C575" t="s">
        <v>63</v>
      </c>
      <c r="D575">
        <v>2013</v>
      </c>
      <c r="E575">
        <v>0.38</v>
      </c>
      <c r="F575">
        <v>209</v>
      </c>
      <c r="G575">
        <v>0.7</v>
      </c>
      <c r="H575">
        <v>170</v>
      </c>
      <c r="I575">
        <v>77</v>
      </c>
      <c r="J575" s="10" t="str">
        <f t="shared" si="8"/>
        <v>Fast</v>
      </c>
    </row>
    <row r="576" spans="1:10" outlineLevel="1" x14ac:dyDescent="0.2">
      <c r="A576" t="s">
        <v>439</v>
      </c>
      <c r="B576" t="s">
        <v>440</v>
      </c>
      <c r="C576" t="s">
        <v>441</v>
      </c>
      <c r="D576">
        <v>2015</v>
      </c>
      <c r="E576">
        <v>0.38</v>
      </c>
      <c r="F576">
        <v>199</v>
      </c>
      <c r="G576">
        <v>0.82</v>
      </c>
      <c r="H576">
        <v>120</v>
      </c>
      <c r="I576">
        <v>68</v>
      </c>
      <c r="J576" s="10" t="str">
        <f t="shared" si="8"/>
        <v>Fast</v>
      </c>
    </row>
    <row r="577" spans="1:10" outlineLevel="1" x14ac:dyDescent="0.2">
      <c r="A577" t="s">
        <v>496</v>
      </c>
      <c r="B577" t="s">
        <v>85</v>
      </c>
      <c r="C577" t="s">
        <v>86</v>
      </c>
      <c r="D577">
        <v>2015</v>
      </c>
      <c r="E577">
        <v>0.38</v>
      </c>
      <c r="F577">
        <v>134</v>
      </c>
      <c r="G577">
        <v>0.26</v>
      </c>
      <c r="H577">
        <v>114</v>
      </c>
      <c r="I577">
        <v>63</v>
      </c>
      <c r="J577" s="10" t="str">
        <f t="shared" si="8"/>
        <v>Fast</v>
      </c>
    </row>
    <row r="578" spans="1:10" outlineLevel="1" x14ac:dyDescent="0.2">
      <c r="A578" t="s">
        <v>565</v>
      </c>
      <c r="B578" t="s">
        <v>141</v>
      </c>
      <c r="C578" t="s">
        <v>142</v>
      </c>
      <c r="D578">
        <v>2016</v>
      </c>
      <c r="E578">
        <v>0.38</v>
      </c>
      <c r="F578">
        <v>291</v>
      </c>
      <c r="G578">
        <v>0.59</v>
      </c>
      <c r="H578">
        <v>144</v>
      </c>
      <c r="I578">
        <v>58</v>
      </c>
      <c r="J578" s="10" t="str">
        <f t="shared" si="8"/>
        <v>Fast</v>
      </c>
    </row>
    <row r="579" spans="1:10" outlineLevel="1" x14ac:dyDescent="0.2">
      <c r="A579" t="s">
        <v>439</v>
      </c>
      <c r="B579" t="s">
        <v>440</v>
      </c>
      <c r="C579" t="s">
        <v>441</v>
      </c>
      <c r="D579">
        <v>2016</v>
      </c>
      <c r="E579">
        <v>0.38</v>
      </c>
      <c r="F579">
        <v>199</v>
      </c>
      <c r="G579">
        <v>0.82</v>
      </c>
      <c r="H579">
        <v>120</v>
      </c>
      <c r="I579">
        <v>68</v>
      </c>
      <c r="J579" s="10" t="str">
        <f t="shared" ref="J579:J604" si="9">IF(H579&lt;100,"Slow","Fast")</f>
        <v>Fast</v>
      </c>
    </row>
    <row r="580" spans="1:10" outlineLevel="1" x14ac:dyDescent="0.2">
      <c r="A580" t="s">
        <v>577</v>
      </c>
      <c r="B580" t="s">
        <v>61</v>
      </c>
      <c r="C580" t="s">
        <v>51</v>
      </c>
      <c r="D580">
        <v>2016</v>
      </c>
      <c r="E580">
        <v>0.37</v>
      </c>
      <c r="F580">
        <v>200</v>
      </c>
      <c r="G580">
        <v>0.65</v>
      </c>
      <c r="H580">
        <v>112</v>
      </c>
      <c r="I580">
        <v>44</v>
      </c>
      <c r="J580" s="10" t="str">
        <f t="shared" si="9"/>
        <v>Fast</v>
      </c>
    </row>
    <row r="581" spans="1:10" outlineLevel="1" x14ac:dyDescent="0.2">
      <c r="A581" t="s">
        <v>593</v>
      </c>
      <c r="B581" t="s">
        <v>82</v>
      </c>
      <c r="C581" t="s">
        <v>83</v>
      </c>
      <c r="D581">
        <v>2016</v>
      </c>
      <c r="E581">
        <v>0.37</v>
      </c>
      <c r="F581">
        <v>403</v>
      </c>
      <c r="G581">
        <v>0.56999999999999995</v>
      </c>
      <c r="H581">
        <v>94</v>
      </c>
      <c r="I581">
        <v>57</v>
      </c>
      <c r="J581" s="10" t="str">
        <f t="shared" si="9"/>
        <v>Slow</v>
      </c>
    </row>
    <row r="582" spans="1:10" outlineLevel="1" x14ac:dyDescent="0.2">
      <c r="A582" t="s">
        <v>673</v>
      </c>
      <c r="B582" t="s">
        <v>674</v>
      </c>
      <c r="C582" t="s">
        <v>675</v>
      </c>
      <c r="D582">
        <v>2017</v>
      </c>
      <c r="E582">
        <v>0.37</v>
      </c>
      <c r="F582">
        <v>180</v>
      </c>
      <c r="G582">
        <v>0.5</v>
      </c>
      <c r="H582">
        <v>167</v>
      </c>
      <c r="I582">
        <v>59</v>
      </c>
      <c r="J582" s="10" t="str">
        <f t="shared" si="9"/>
        <v>Fast</v>
      </c>
    </row>
    <row r="583" spans="1:10" outlineLevel="1" x14ac:dyDescent="0.2">
      <c r="A583" t="s">
        <v>315</v>
      </c>
      <c r="B583" t="s">
        <v>314</v>
      </c>
      <c r="C583" t="s">
        <v>51</v>
      </c>
      <c r="D583">
        <v>2013</v>
      </c>
      <c r="E583">
        <v>0.36</v>
      </c>
      <c r="F583">
        <v>211</v>
      </c>
      <c r="G583">
        <v>0.95</v>
      </c>
      <c r="H583">
        <v>201</v>
      </c>
      <c r="I583">
        <v>50</v>
      </c>
      <c r="J583" s="10" t="str">
        <f t="shared" si="9"/>
        <v>Fast</v>
      </c>
    </row>
    <row r="584" spans="1:10" outlineLevel="1" x14ac:dyDescent="0.2">
      <c r="A584" t="s">
        <v>493</v>
      </c>
      <c r="B584" t="s">
        <v>85</v>
      </c>
      <c r="C584" t="s">
        <v>86</v>
      </c>
      <c r="D584">
        <v>2015</v>
      </c>
      <c r="E584">
        <v>0.36</v>
      </c>
      <c r="F584">
        <v>200</v>
      </c>
      <c r="G584">
        <v>0.61</v>
      </c>
      <c r="H584">
        <v>192</v>
      </c>
      <c r="I584">
        <v>68</v>
      </c>
      <c r="J584" s="10" t="str">
        <f t="shared" si="9"/>
        <v>Fast</v>
      </c>
    </row>
    <row r="585" spans="1:10" outlineLevel="1" x14ac:dyDescent="0.2">
      <c r="A585" t="s">
        <v>159</v>
      </c>
      <c r="B585" t="s">
        <v>158</v>
      </c>
      <c r="C585" t="s">
        <v>51</v>
      </c>
      <c r="D585">
        <v>2011</v>
      </c>
      <c r="E585">
        <v>0.35</v>
      </c>
      <c r="F585">
        <v>247</v>
      </c>
      <c r="G585">
        <v>0.35</v>
      </c>
      <c r="H585">
        <v>75</v>
      </c>
      <c r="I585">
        <v>50</v>
      </c>
      <c r="J585" s="10" t="str">
        <f t="shared" si="9"/>
        <v>Slow</v>
      </c>
    </row>
    <row r="586" spans="1:10" outlineLevel="1" x14ac:dyDescent="0.2">
      <c r="A586" t="s">
        <v>383</v>
      </c>
      <c r="B586" t="s">
        <v>71</v>
      </c>
      <c r="C586" t="s">
        <v>51</v>
      </c>
      <c r="D586">
        <v>2014</v>
      </c>
      <c r="E586">
        <v>0.35</v>
      </c>
      <c r="F586">
        <v>191</v>
      </c>
      <c r="G586">
        <v>0.77</v>
      </c>
      <c r="H586">
        <v>192</v>
      </c>
      <c r="I586">
        <v>61</v>
      </c>
      <c r="J586" s="10" t="str">
        <f t="shared" si="9"/>
        <v>Fast</v>
      </c>
    </row>
    <row r="587" spans="1:10" outlineLevel="1" x14ac:dyDescent="0.2">
      <c r="A587" t="s">
        <v>668</v>
      </c>
      <c r="B587" t="s">
        <v>669</v>
      </c>
      <c r="C587" t="s">
        <v>51</v>
      </c>
      <c r="D587">
        <v>2017</v>
      </c>
      <c r="E587">
        <v>0.33</v>
      </c>
      <c r="F587">
        <v>216</v>
      </c>
      <c r="G587">
        <v>0.62</v>
      </c>
      <c r="H587">
        <v>85</v>
      </c>
      <c r="I587">
        <v>75</v>
      </c>
      <c r="J587" s="10" t="str">
        <f t="shared" si="9"/>
        <v>Slow</v>
      </c>
    </row>
    <row r="588" spans="1:10" outlineLevel="1" x14ac:dyDescent="0.2">
      <c r="A588" t="s">
        <v>523</v>
      </c>
      <c r="B588" t="s">
        <v>524</v>
      </c>
      <c r="C588" t="s">
        <v>522</v>
      </c>
      <c r="D588">
        <v>2015</v>
      </c>
      <c r="E588">
        <v>0.32</v>
      </c>
      <c r="F588">
        <v>213</v>
      </c>
      <c r="G588">
        <v>0.85</v>
      </c>
      <c r="H588">
        <v>139</v>
      </c>
      <c r="I588">
        <v>69</v>
      </c>
      <c r="J588" s="10" t="str">
        <f t="shared" si="9"/>
        <v>Fast</v>
      </c>
    </row>
    <row r="589" spans="1:10" outlineLevel="1" x14ac:dyDescent="0.2">
      <c r="A589" t="s">
        <v>523</v>
      </c>
      <c r="B589" t="s">
        <v>524</v>
      </c>
      <c r="C589" t="s">
        <v>522</v>
      </c>
      <c r="D589">
        <v>2016</v>
      </c>
      <c r="E589">
        <v>0.32</v>
      </c>
      <c r="F589">
        <v>213</v>
      </c>
      <c r="G589">
        <v>0.85</v>
      </c>
      <c r="H589">
        <v>139</v>
      </c>
      <c r="I589">
        <v>69</v>
      </c>
      <c r="J589" s="10" t="str">
        <f t="shared" si="9"/>
        <v>Fast</v>
      </c>
    </row>
    <row r="590" spans="1:10" outlineLevel="1" x14ac:dyDescent="0.2">
      <c r="A590" t="s">
        <v>113</v>
      </c>
      <c r="B590" t="s">
        <v>111</v>
      </c>
      <c r="C590" t="s">
        <v>112</v>
      </c>
      <c r="D590">
        <v>2010</v>
      </c>
      <c r="E590">
        <v>0.31</v>
      </c>
      <c r="F590">
        <v>251</v>
      </c>
      <c r="G590">
        <v>0.75</v>
      </c>
      <c r="H590">
        <v>182</v>
      </c>
      <c r="I590">
        <v>57</v>
      </c>
      <c r="J590" s="10" t="str">
        <f t="shared" si="9"/>
        <v>Fast</v>
      </c>
    </row>
    <row r="591" spans="1:10" outlineLevel="1" x14ac:dyDescent="0.2">
      <c r="A591" t="s">
        <v>662</v>
      </c>
      <c r="B591" t="s">
        <v>440</v>
      </c>
      <c r="C591" t="s">
        <v>441</v>
      </c>
      <c r="D591">
        <v>2017</v>
      </c>
      <c r="E591">
        <v>0.31</v>
      </c>
      <c r="F591">
        <v>176</v>
      </c>
      <c r="G591">
        <v>0.54</v>
      </c>
      <c r="H591">
        <v>181</v>
      </c>
      <c r="I591">
        <v>71</v>
      </c>
      <c r="J591" s="10" t="str">
        <f t="shared" si="9"/>
        <v>Fast</v>
      </c>
    </row>
    <row r="592" spans="1:10" outlineLevel="1" x14ac:dyDescent="0.2">
      <c r="A592" t="s">
        <v>150</v>
      </c>
      <c r="B592" t="s">
        <v>147</v>
      </c>
      <c r="C592" t="s">
        <v>51</v>
      </c>
      <c r="D592">
        <v>2011</v>
      </c>
      <c r="E592">
        <v>0.3</v>
      </c>
      <c r="F592">
        <v>274</v>
      </c>
      <c r="G592">
        <v>0.38</v>
      </c>
      <c r="H592">
        <v>63</v>
      </c>
      <c r="I592">
        <v>60</v>
      </c>
      <c r="J592" s="10" t="str">
        <f t="shared" si="9"/>
        <v>Slow</v>
      </c>
    </row>
    <row r="593" spans="1:10" outlineLevel="1" x14ac:dyDescent="0.2">
      <c r="A593" t="s">
        <v>202</v>
      </c>
      <c r="B593" t="s">
        <v>203</v>
      </c>
      <c r="C593" t="s">
        <v>204</v>
      </c>
      <c r="D593">
        <v>2011</v>
      </c>
      <c r="E593">
        <v>0.3</v>
      </c>
      <c r="F593">
        <v>255</v>
      </c>
      <c r="G593">
        <v>0.38</v>
      </c>
      <c r="H593">
        <v>125</v>
      </c>
      <c r="I593">
        <v>46</v>
      </c>
      <c r="J593" s="10" t="str">
        <f t="shared" si="9"/>
        <v>Fast</v>
      </c>
    </row>
    <row r="594" spans="1:10" outlineLevel="1" x14ac:dyDescent="0.2">
      <c r="A594" t="s">
        <v>65</v>
      </c>
      <c r="B594" t="s">
        <v>66</v>
      </c>
      <c r="C594" t="s">
        <v>51</v>
      </c>
      <c r="D594">
        <v>2010</v>
      </c>
      <c r="E594">
        <v>0.28999999999999998</v>
      </c>
      <c r="F594">
        <v>264</v>
      </c>
      <c r="G594">
        <v>0.41</v>
      </c>
      <c r="H594">
        <v>164</v>
      </c>
      <c r="I594">
        <v>61</v>
      </c>
      <c r="J594" s="10" t="str">
        <f t="shared" si="9"/>
        <v>Fast</v>
      </c>
    </row>
    <row r="595" spans="1:10" outlineLevel="1" x14ac:dyDescent="0.2">
      <c r="A595" t="s">
        <v>432</v>
      </c>
      <c r="B595" t="s">
        <v>433</v>
      </c>
      <c r="C595" t="s">
        <v>434</v>
      </c>
      <c r="D595">
        <v>2014</v>
      </c>
      <c r="E595">
        <v>0.28999999999999998</v>
      </c>
      <c r="F595">
        <v>216</v>
      </c>
      <c r="G595">
        <v>0.78</v>
      </c>
      <c r="H595">
        <v>174</v>
      </c>
      <c r="I595">
        <v>56</v>
      </c>
      <c r="J595" s="10" t="str">
        <f t="shared" si="9"/>
        <v>Fast</v>
      </c>
    </row>
    <row r="596" spans="1:10" outlineLevel="1" x14ac:dyDescent="0.2">
      <c r="A596" t="s">
        <v>266</v>
      </c>
      <c r="B596" t="s">
        <v>213</v>
      </c>
      <c r="C596" t="s">
        <v>214</v>
      </c>
      <c r="D596">
        <v>2013</v>
      </c>
      <c r="E596">
        <v>0.28000000000000003</v>
      </c>
      <c r="F596">
        <v>236</v>
      </c>
      <c r="G596">
        <v>0.45</v>
      </c>
      <c r="H596">
        <v>136</v>
      </c>
      <c r="I596">
        <v>55</v>
      </c>
      <c r="J596" s="10" t="str">
        <f t="shared" si="9"/>
        <v>Fast</v>
      </c>
    </row>
    <row r="597" spans="1:10" outlineLevel="1" x14ac:dyDescent="0.2">
      <c r="A597" t="s">
        <v>500</v>
      </c>
      <c r="B597" t="s">
        <v>231</v>
      </c>
      <c r="C597" t="s">
        <v>51</v>
      </c>
      <c r="D597">
        <v>2015</v>
      </c>
      <c r="E597">
        <v>0.28000000000000003</v>
      </c>
      <c r="F597">
        <v>273</v>
      </c>
      <c r="G597">
        <v>0.37</v>
      </c>
      <c r="H597">
        <v>112</v>
      </c>
      <c r="I597">
        <v>36</v>
      </c>
      <c r="J597" s="10" t="str">
        <f t="shared" si="9"/>
        <v>Fast</v>
      </c>
    </row>
    <row r="598" spans="1:10" outlineLevel="1" x14ac:dyDescent="0.2">
      <c r="A598" t="s">
        <v>515</v>
      </c>
      <c r="B598" t="s">
        <v>34</v>
      </c>
      <c r="C598" t="s">
        <v>63</v>
      </c>
      <c r="D598">
        <v>2015</v>
      </c>
      <c r="E598">
        <v>0.28000000000000003</v>
      </c>
      <c r="F598">
        <v>231</v>
      </c>
      <c r="G598">
        <v>0.74</v>
      </c>
      <c r="H598">
        <v>190</v>
      </c>
      <c r="I598">
        <v>76</v>
      </c>
      <c r="J598" s="10" t="str">
        <f t="shared" si="9"/>
        <v>Fast</v>
      </c>
    </row>
    <row r="599" spans="1:10" outlineLevel="1" x14ac:dyDescent="0.2">
      <c r="A599" t="s">
        <v>719</v>
      </c>
      <c r="B599" t="s">
        <v>433</v>
      </c>
      <c r="C599" t="s">
        <v>434</v>
      </c>
      <c r="D599">
        <v>2017</v>
      </c>
      <c r="E599">
        <v>0.27</v>
      </c>
      <c r="F599">
        <v>286</v>
      </c>
      <c r="G599">
        <v>0.46</v>
      </c>
      <c r="H599">
        <v>87</v>
      </c>
      <c r="I599">
        <v>44</v>
      </c>
      <c r="J599" s="10" t="str">
        <f t="shared" si="9"/>
        <v>Slow</v>
      </c>
    </row>
    <row r="600" spans="1:10" outlineLevel="1" x14ac:dyDescent="0.2">
      <c r="A600" t="s">
        <v>463</v>
      </c>
      <c r="B600" t="s">
        <v>217</v>
      </c>
      <c r="C600" t="s">
        <v>51</v>
      </c>
      <c r="D600">
        <v>2015</v>
      </c>
      <c r="E600">
        <v>0.26</v>
      </c>
      <c r="F600">
        <v>253</v>
      </c>
      <c r="G600">
        <v>0.61</v>
      </c>
      <c r="H600">
        <v>190</v>
      </c>
      <c r="I600">
        <v>79</v>
      </c>
      <c r="J600" s="10" t="str">
        <f t="shared" si="9"/>
        <v>Fast</v>
      </c>
    </row>
    <row r="601" spans="1:10" outlineLevel="1" x14ac:dyDescent="0.2">
      <c r="A601" t="s">
        <v>471</v>
      </c>
      <c r="B601" t="s">
        <v>82</v>
      </c>
      <c r="C601" t="s">
        <v>83</v>
      </c>
      <c r="D601">
        <v>2015</v>
      </c>
      <c r="E601">
        <v>0.26</v>
      </c>
      <c r="F601">
        <v>225</v>
      </c>
      <c r="G601">
        <v>0.43</v>
      </c>
      <c r="H601">
        <v>117</v>
      </c>
      <c r="I601">
        <v>47</v>
      </c>
      <c r="J601" s="10" t="str">
        <f t="shared" si="9"/>
        <v>Fast</v>
      </c>
    </row>
    <row r="602" spans="1:10" outlineLevel="1" x14ac:dyDescent="0.2">
      <c r="A602" t="s">
        <v>790</v>
      </c>
      <c r="B602" t="s">
        <v>655</v>
      </c>
      <c r="C602" t="s">
        <v>51</v>
      </c>
      <c r="D602">
        <v>2018</v>
      </c>
      <c r="E602">
        <v>0.26</v>
      </c>
      <c r="F602">
        <v>239</v>
      </c>
      <c r="G602">
        <v>0.44</v>
      </c>
      <c r="H602">
        <v>180</v>
      </c>
      <c r="I602">
        <v>83</v>
      </c>
      <c r="J602" s="10" t="str">
        <f t="shared" si="9"/>
        <v>Fast</v>
      </c>
    </row>
    <row r="603" spans="1:10" outlineLevel="1" x14ac:dyDescent="0.2">
      <c r="A603" t="s">
        <v>68</v>
      </c>
      <c r="B603" t="s">
        <v>66</v>
      </c>
      <c r="C603" t="s">
        <v>51</v>
      </c>
      <c r="D603">
        <v>2010</v>
      </c>
      <c r="E603">
        <v>0.23</v>
      </c>
      <c r="F603">
        <v>257</v>
      </c>
      <c r="G603">
        <v>0.39</v>
      </c>
      <c r="H603">
        <v>43</v>
      </c>
      <c r="I603">
        <v>56</v>
      </c>
      <c r="J603" s="10" t="str">
        <f t="shared" si="9"/>
        <v>Slow</v>
      </c>
    </row>
    <row r="604" spans="1:10" outlineLevel="1" x14ac:dyDescent="0.2">
      <c r="A604" t="s">
        <v>566</v>
      </c>
      <c r="B604" t="s">
        <v>141</v>
      </c>
      <c r="C604" t="s">
        <v>142</v>
      </c>
      <c r="D604">
        <v>2016</v>
      </c>
      <c r="E604">
        <v>0</v>
      </c>
      <c r="F604">
        <v>227</v>
      </c>
      <c r="G604">
        <v>0</v>
      </c>
      <c r="H604">
        <v>0</v>
      </c>
      <c r="I604">
        <v>0</v>
      </c>
      <c r="J604" s="10" t="str">
        <f t="shared" si="9"/>
        <v>Slow</v>
      </c>
    </row>
  </sheetData>
  <autoFilter ref="A1:I604" xr:uid="{BFEC1DF3-DF71-6748-AB64-FA6845DBA6AD}">
    <sortState xmlns:xlrd2="http://schemas.microsoft.com/office/spreadsheetml/2017/richdata2" ref="A2:I604">
      <sortCondition descending="1" ref="E1:E604"/>
    </sortState>
  </autoFilter>
  <conditionalFormatting sqref="A1:I604 J1">
    <cfRule type="expression" dxfId="0" priority="1">
      <formula>MOD(ROW(),2)=0</formula>
    </cfRule>
  </conditionalFormatting>
  <pageMargins left="0.7" right="0.7" top="0.75" bottom="0.75" header="0.3" footer="0.3"/>
  <pageSetup orientation="portrait" horizontalDpi="0" verticalDpi="0"/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Spotify_playlist</vt:lpstr>
      <vt:lpstr>Spotify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Lauren Crider</dc:creator>
  <cp:keywords/>
  <dc:description/>
  <cp:lastModifiedBy>Rueda, Sofia</cp:lastModifiedBy>
  <cp:revision/>
  <dcterms:created xsi:type="dcterms:W3CDTF">2022-04-19T13:59:47Z</dcterms:created>
  <dcterms:modified xsi:type="dcterms:W3CDTF">2025-06-06T01:55:41Z</dcterms:modified>
  <cp:category/>
  <cp:contentStatus/>
</cp:coreProperties>
</file>